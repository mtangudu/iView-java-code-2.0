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spreadsheetml.table+xml" PartName="/xl/tables/table7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10.xml"/>
  <Override ContentType="application/vnd.openxmlformats-officedocument.spreadsheetml.table+xml" PartName="/xl/tables/table11.xml"/>
  <Override ContentType="application/vnd.openxmlformats-officedocument.spreadsheetml.table+xml" PartName="/xl/tables/table12.xml"/>
  <Override ContentType="application/vnd.openxmlformats-officedocument.spreadsheetml.table+xml" PartName="/xl/tables/table13.xml"/>
  <Override ContentType="application/vnd.openxmlformats-officedocument.spreadsheetml.table+xml" PartName="/xl/tables/table14.xml"/>
  <Override ContentType="application/vnd.openxmlformats-officedocument.spreadsheetml.table+xml" PartName="/xl/tables/table15.xml"/>
  <Override ContentType="application/vnd.openxmlformats-officedocument.spreadsheetml.table+xml" PartName="/xl/tables/table16.xml"/>
  <Override ContentType="application/vnd.openxmlformats-officedocument.spreadsheetml.table+xml" PartName="/xl/tables/table17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thumbnail.wmf" Type="http://schemas.openxmlformats.org/package/2006/relationships/metadata/thumbnail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agappan\Documents\Projects\HCSC\Integration\WorkingFolder\Demo\"/>
    </mc:Choice>
  </mc:AlternateContent>
  <xr:revisionPtr revIDLastSave="0" documentId="8_{74F5D66E-3EAA-422A-A37B-555653A543D9}" xr6:coauthVersionLast="36" xr6:coauthVersionMax="36" xr10:uidLastSave="{00000000-0000-0000-0000-000000000000}"/>
  <bookViews>
    <workbookView xWindow="0" yWindow="0" windowWidth="28800" windowHeight="12225" tabRatio="344" activeTab="2" xr2:uid="{5D5CB0DA-708B-46E8-9D75-5E6819AE4D54}"/>
  </bookViews>
  <sheets>
    <sheet name="Input" sheetId="1" r:id="rId1"/>
    <sheet name="Display" sheetId="3" r:id="rId2"/>
    <sheet name="RawData" sheetId="4" r:id="rId3"/>
    <sheet name="RawDataOld" sheetId="9" r:id="rId4"/>
    <sheet name="Demo" sheetId="7" r:id="rId5"/>
    <sheet name="MetaData" sheetId="8" r:id="rId6"/>
    <sheet name="OldMetaData" sheetId="2" r:id="rId7"/>
    <sheet name="Ref" sheetId="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" i="3" l="1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U87" i="9"/>
  <c r="T87" i="9"/>
  <c r="R87" i="9"/>
  <c r="I87" i="9"/>
  <c r="H87" i="9"/>
  <c r="G87" i="9"/>
  <c r="F87" i="9"/>
  <c r="E87" i="9"/>
  <c r="U86" i="9"/>
  <c r="T86" i="9"/>
  <c r="R86" i="9"/>
  <c r="I86" i="9"/>
  <c r="H86" i="9"/>
  <c r="G86" i="9"/>
  <c r="F86" i="9"/>
  <c r="E86" i="9"/>
  <c r="U85" i="9"/>
  <c r="T85" i="9"/>
  <c r="R85" i="9"/>
  <c r="I85" i="9"/>
  <c r="H85" i="9"/>
  <c r="G85" i="9"/>
  <c r="F85" i="9"/>
  <c r="E85" i="9"/>
  <c r="U84" i="9"/>
  <c r="T84" i="9"/>
  <c r="R84" i="9"/>
  <c r="I84" i="9"/>
  <c r="H84" i="9"/>
  <c r="G84" i="9"/>
  <c r="F84" i="9"/>
  <c r="E84" i="9"/>
  <c r="U83" i="9"/>
  <c r="T83" i="9"/>
  <c r="R83" i="9"/>
  <c r="I83" i="9"/>
  <c r="H83" i="9"/>
  <c r="G83" i="9"/>
  <c r="F83" i="9"/>
  <c r="E83" i="9"/>
  <c r="U82" i="9"/>
  <c r="T82" i="9"/>
  <c r="R82" i="9"/>
  <c r="I82" i="9"/>
  <c r="H82" i="9"/>
  <c r="G82" i="9"/>
  <c r="F82" i="9"/>
  <c r="E82" i="9"/>
  <c r="U81" i="9"/>
  <c r="T81" i="9"/>
  <c r="R81" i="9"/>
  <c r="I81" i="9"/>
  <c r="H81" i="9"/>
  <c r="G81" i="9"/>
  <c r="F81" i="9"/>
  <c r="E81" i="9"/>
  <c r="U80" i="9"/>
  <c r="T80" i="9"/>
  <c r="R80" i="9"/>
  <c r="I80" i="9"/>
  <c r="H80" i="9"/>
  <c r="G80" i="9"/>
  <c r="F80" i="9"/>
  <c r="E80" i="9"/>
  <c r="U79" i="9"/>
  <c r="T79" i="9"/>
  <c r="R79" i="9"/>
  <c r="I79" i="9"/>
  <c r="H79" i="9"/>
  <c r="G79" i="9"/>
  <c r="F79" i="9"/>
  <c r="E79" i="9"/>
  <c r="U78" i="9"/>
  <c r="T78" i="9"/>
  <c r="R78" i="9"/>
  <c r="I78" i="9"/>
  <c r="H78" i="9"/>
  <c r="G78" i="9"/>
  <c r="F78" i="9"/>
  <c r="E78" i="9"/>
  <c r="U77" i="9"/>
  <c r="T77" i="9"/>
  <c r="R77" i="9"/>
  <c r="I77" i="9"/>
  <c r="H77" i="9"/>
  <c r="G77" i="9"/>
  <c r="F77" i="9"/>
  <c r="E77" i="9"/>
  <c r="U76" i="9"/>
  <c r="T76" i="9"/>
  <c r="R76" i="9"/>
  <c r="I76" i="9"/>
  <c r="H76" i="9"/>
  <c r="G76" i="9"/>
  <c r="F76" i="9"/>
  <c r="E76" i="9"/>
  <c r="U75" i="9"/>
  <c r="T75" i="9"/>
  <c r="R75" i="9"/>
  <c r="I75" i="9"/>
  <c r="H75" i="9"/>
  <c r="G75" i="9"/>
  <c r="F75" i="9"/>
  <c r="E75" i="9"/>
  <c r="U74" i="9"/>
  <c r="T74" i="9"/>
  <c r="R74" i="9"/>
  <c r="I74" i="9"/>
  <c r="H74" i="9"/>
  <c r="G74" i="9"/>
  <c r="F74" i="9"/>
  <c r="E74" i="9"/>
  <c r="U73" i="9"/>
  <c r="T73" i="9"/>
  <c r="R73" i="9"/>
  <c r="I73" i="9"/>
  <c r="H73" i="9"/>
  <c r="G73" i="9"/>
  <c r="F73" i="9"/>
  <c r="E73" i="9"/>
  <c r="U72" i="9"/>
  <c r="T72" i="9"/>
  <c r="R72" i="9"/>
  <c r="I72" i="9"/>
  <c r="H72" i="9"/>
  <c r="G72" i="9"/>
  <c r="F72" i="9"/>
  <c r="E72" i="9"/>
  <c r="U71" i="9"/>
  <c r="T71" i="9"/>
  <c r="R71" i="9"/>
  <c r="I71" i="9"/>
  <c r="H71" i="9"/>
  <c r="G71" i="9"/>
  <c r="F71" i="9"/>
  <c r="E71" i="9"/>
  <c r="U70" i="9"/>
  <c r="T70" i="9"/>
  <c r="R70" i="9"/>
  <c r="I70" i="9"/>
  <c r="H70" i="9"/>
  <c r="G70" i="9"/>
  <c r="F70" i="9"/>
  <c r="E70" i="9"/>
  <c r="U69" i="9"/>
  <c r="T69" i="9"/>
  <c r="R69" i="9"/>
  <c r="I69" i="9"/>
  <c r="H69" i="9"/>
  <c r="G69" i="9"/>
  <c r="F69" i="9"/>
  <c r="E69" i="9"/>
  <c r="U68" i="9"/>
  <c r="T68" i="9"/>
  <c r="R68" i="9"/>
  <c r="I68" i="9"/>
  <c r="H68" i="9"/>
  <c r="G68" i="9"/>
  <c r="F68" i="9"/>
  <c r="E68" i="9"/>
  <c r="U67" i="9"/>
  <c r="T67" i="9"/>
  <c r="R67" i="9"/>
  <c r="I67" i="9"/>
  <c r="H67" i="9"/>
  <c r="G67" i="9"/>
  <c r="F67" i="9"/>
  <c r="E67" i="9"/>
  <c r="U66" i="9"/>
  <c r="T66" i="9"/>
  <c r="R66" i="9"/>
  <c r="I66" i="9"/>
  <c r="H66" i="9"/>
  <c r="G66" i="9"/>
  <c r="F66" i="9"/>
  <c r="E66" i="9"/>
  <c r="U65" i="9"/>
  <c r="T65" i="9"/>
  <c r="R65" i="9"/>
  <c r="I65" i="9"/>
  <c r="H65" i="9"/>
  <c r="G65" i="9"/>
  <c r="F65" i="9"/>
  <c r="E65" i="9"/>
  <c r="U64" i="9"/>
  <c r="T64" i="9"/>
  <c r="R64" i="9"/>
  <c r="I64" i="9"/>
  <c r="H64" i="9"/>
  <c r="G64" i="9"/>
  <c r="F64" i="9"/>
  <c r="E64" i="9"/>
  <c r="U63" i="9"/>
  <c r="T63" i="9"/>
  <c r="R63" i="9"/>
  <c r="I63" i="9"/>
  <c r="H63" i="9"/>
  <c r="G63" i="9"/>
  <c r="F63" i="9"/>
  <c r="E63" i="9"/>
  <c r="U62" i="9"/>
  <c r="T62" i="9"/>
  <c r="R62" i="9"/>
  <c r="I62" i="9"/>
  <c r="H62" i="9"/>
  <c r="G62" i="9"/>
  <c r="F62" i="9"/>
  <c r="E62" i="9"/>
  <c r="U61" i="9"/>
  <c r="T61" i="9"/>
  <c r="R61" i="9"/>
  <c r="I61" i="9"/>
  <c r="H61" i="9"/>
  <c r="G61" i="9"/>
  <c r="F61" i="9"/>
  <c r="E61" i="9"/>
  <c r="U60" i="9"/>
  <c r="T60" i="9"/>
  <c r="R60" i="9"/>
  <c r="I60" i="9"/>
  <c r="H60" i="9"/>
  <c r="G60" i="9"/>
  <c r="F60" i="9"/>
  <c r="E60" i="9"/>
  <c r="U59" i="9"/>
  <c r="T59" i="9"/>
  <c r="R59" i="9"/>
  <c r="I59" i="9"/>
  <c r="H59" i="9"/>
  <c r="G59" i="9"/>
  <c r="F59" i="9"/>
  <c r="E59" i="9"/>
  <c r="U58" i="9"/>
  <c r="T58" i="9"/>
  <c r="R58" i="9"/>
  <c r="I58" i="9"/>
  <c r="H58" i="9"/>
  <c r="G58" i="9"/>
  <c r="F58" i="9"/>
  <c r="E58" i="9"/>
  <c r="U57" i="9"/>
  <c r="T57" i="9"/>
  <c r="R57" i="9"/>
  <c r="I57" i="9"/>
  <c r="H57" i="9"/>
  <c r="G57" i="9"/>
  <c r="F57" i="9"/>
  <c r="E57" i="9"/>
  <c r="U56" i="9"/>
  <c r="T56" i="9"/>
  <c r="R56" i="9"/>
  <c r="I56" i="9"/>
  <c r="H56" i="9"/>
  <c r="G56" i="9"/>
  <c r="F56" i="9"/>
  <c r="E56" i="9"/>
  <c r="U55" i="9"/>
  <c r="T55" i="9"/>
  <c r="R55" i="9"/>
  <c r="I55" i="9"/>
  <c r="H55" i="9"/>
  <c r="G55" i="9"/>
  <c r="F55" i="9"/>
  <c r="E55" i="9"/>
  <c r="U54" i="9"/>
  <c r="T54" i="9"/>
  <c r="R54" i="9"/>
  <c r="I54" i="9"/>
  <c r="H54" i="9"/>
  <c r="G54" i="9"/>
  <c r="F54" i="9"/>
  <c r="E54" i="9"/>
  <c r="U53" i="9"/>
  <c r="T53" i="9"/>
  <c r="R53" i="9"/>
  <c r="I53" i="9"/>
  <c r="H53" i="9"/>
  <c r="G53" i="9"/>
  <c r="F53" i="9"/>
  <c r="E53" i="9"/>
  <c r="U52" i="9"/>
  <c r="T52" i="9"/>
  <c r="R52" i="9"/>
  <c r="I52" i="9"/>
  <c r="H52" i="9"/>
  <c r="G52" i="9"/>
  <c r="F52" i="9"/>
  <c r="E52" i="9"/>
  <c r="U51" i="9"/>
  <c r="T51" i="9"/>
  <c r="R51" i="9"/>
  <c r="I51" i="9"/>
  <c r="H51" i="9"/>
  <c r="G51" i="9"/>
  <c r="F51" i="9"/>
  <c r="E51" i="9"/>
  <c r="U50" i="9"/>
  <c r="T50" i="9"/>
  <c r="R50" i="9"/>
  <c r="I50" i="9"/>
  <c r="H50" i="9"/>
  <c r="G50" i="9"/>
  <c r="F50" i="9"/>
  <c r="E50" i="9"/>
  <c r="U49" i="9"/>
  <c r="T49" i="9"/>
  <c r="R49" i="9"/>
  <c r="I49" i="9"/>
  <c r="H49" i="9"/>
  <c r="G49" i="9"/>
  <c r="F49" i="9"/>
  <c r="E49" i="9"/>
  <c r="U48" i="9"/>
  <c r="T48" i="9"/>
  <c r="R48" i="9"/>
  <c r="I48" i="9"/>
  <c r="H48" i="9"/>
  <c r="G48" i="9"/>
  <c r="F48" i="9"/>
  <c r="E48" i="9"/>
  <c r="U47" i="9"/>
  <c r="T47" i="9"/>
  <c r="R47" i="9"/>
  <c r="I47" i="9"/>
  <c r="H47" i="9"/>
  <c r="G47" i="9"/>
  <c r="F47" i="9"/>
  <c r="E47" i="9"/>
  <c r="W46" i="9"/>
  <c r="U46" i="9"/>
  <c r="T46" i="9"/>
  <c r="R46" i="9"/>
  <c r="I46" i="9"/>
  <c r="H46" i="9"/>
  <c r="G46" i="9"/>
  <c r="F46" i="9"/>
  <c r="E46" i="9"/>
  <c r="U45" i="9"/>
  <c r="T45" i="9"/>
  <c r="R45" i="9"/>
  <c r="I45" i="9"/>
  <c r="H45" i="9"/>
  <c r="G45" i="9"/>
  <c r="F45" i="9"/>
  <c r="E45" i="9"/>
  <c r="U44" i="9"/>
  <c r="T44" i="9"/>
  <c r="R44" i="9"/>
  <c r="I44" i="9"/>
  <c r="H44" i="9"/>
  <c r="G44" i="9"/>
  <c r="F44" i="9"/>
  <c r="E44" i="9"/>
  <c r="U43" i="9"/>
  <c r="T43" i="9"/>
  <c r="R43" i="9"/>
  <c r="I43" i="9"/>
  <c r="H43" i="9"/>
  <c r="G43" i="9"/>
  <c r="F43" i="9"/>
  <c r="E43" i="9"/>
  <c r="U42" i="9"/>
  <c r="T42" i="9"/>
  <c r="R42" i="9"/>
  <c r="I42" i="9"/>
  <c r="H42" i="9"/>
  <c r="G42" i="9"/>
  <c r="F42" i="9"/>
  <c r="E42" i="9"/>
  <c r="U41" i="9"/>
  <c r="T41" i="9"/>
  <c r="R41" i="9"/>
  <c r="I41" i="9"/>
  <c r="H41" i="9"/>
  <c r="G41" i="9"/>
  <c r="F41" i="9"/>
  <c r="E41" i="9"/>
  <c r="U40" i="9"/>
  <c r="T40" i="9"/>
  <c r="R40" i="9"/>
  <c r="I40" i="9"/>
  <c r="H40" i="9"/>
  <c r="G40" i="9"/>
  <c r="F40" i="9"/>
  <c r="E40" i="9"/>
  <c r="U39" i="9"/>
  <c r="T39" i="9"/>
  <c r="R39" i="9"/>
  <c r="I39" i="9"/>
  <c r="H39" i="9"/>
  <c r="G39" i="9"/>
  <c r="F39" i="9"/>
  <c r="E39" i="9"/>
  <c r="U38" i="9"/>
  <c r="T38" i="9"/>
  <c r="R38" i="9"/>
  <c r="I38" i="9"/>
  <c r="H38" i="9"/>
  <c r="G38" i="9"/>
  <c r="F38" i="9"/>
  <c r="E38" i="9"/>
  <c r="U37" i="9"/>
  <c r="T37" i="9"/>
  <c r="R37" i="9"/>
  <c r="I37" i="9"/>
  <c r="H37" i="9"/>
  <c r="G37" i="9"/>
  <c r="F37" i="9"/>
  <c r="E37" i="9"/>
  <c r="U36" i="9"/>
  <c r="T36" i="9"/>
  <c r="R36" i="9"/>
  <c r="I36" i="9"/>
  <c r="H36" i="9"/>
  <c r="G36" i="9"/>
  <c r="F36" i="9"/>
  <c r="E36" i="9"/>
  <c r="U35" i="9"/>
  <c r="T35" i="9"/>
  <c r="R35" i="9"/>
  <c r="I35" i="9"/>
  <c r="H35" i="9"/>
  <c r="G35" i="9"/>
  <c r="F35" i="9"/>
  <c r="E35" i="9"/>
  <c r="U34" i="9"/>
  <c r="T34" i="9"/>
  <c r="R34" i="9"/>
  <c r="I34" i="9"/>
  <c r="H34" i="9"/>
  <c r="G34" i="9"/>
  <c r="F34" i="9"/>
  <c r="E34" i="9"/>
  <c r="U33" i="9"/>
  <c r="T33" i="9"/>
  <c r="R33" i="9"/>
  <c r="I33" i="9"/>
  <c r="H33" i="9"/>
  <c r="G33" i="9"/>
  <c r="F33" i="9"/>
  <c r="E33" i="9"/>
  <c r="U32" i="9"/>
  <c r="T32" i="9"/>
  <c r="R32" i="9"/>
  <c r="I32" i="9"/>
  <c r="H32" i="9"/>
  <c r="G32" i="9"/>
  <c r="F32" i="9"/>
  <c r="E32" i="9"/>
  <c r="U31" i="9"/>
  <c r="T31" i="9"/>
  <c r="R31" i="9"/>
  <c r="I31" i="9"/>
  <c r="H31" i="9"/>
  <c r="G31" i="9"/>
  <c r="F31" i="9"/>
  <c r="E31" i="9"/>
  <c r="U30" i="9"/>
  <c r="T30" i="9"/>
  <c r="R30" i="9"/>
  <c r="I30" i="9"/>
  <c r="H30" i="9"/>
  <c r="G30" i="9"/>
  <c r="F30" i="9"/>
  <c r="E30" i="9"/>
  <c r="U29" i="9"/>
  <c r="T29" i="9"/>
  <c r="R29" i="9"/>
  <c r="I29" i="9"/>
  <c r="H29" i="9"/>
  <c r="G29" i="9"/>
  <c r="F29" i="9"/>
  <c r="E29" i="9"/>
  <c r="U28" i="9"/>
  <c r="T28" i="9"/>
  <c r="R28" i="9"/>
  <c r="I28" i="9"/>
  <c r="H28" i="9"/>
  <c r="G28" i="9"/>
  <c r="F28" i="9"/>
  <c r="E28" i="9"/>
  <c r="U27" i="9"/>
  <c r="T27" i="9"/>
  <c r="R27" i="9"/>
  <c r="I27" i="9"/>
  <c r="H27" i="9"/>
  <c r="G27" i="9"/>
  <c r="F27" i="9"/>
  <c r="E27" i="9"/>
  <c r="U26" i="9"/>
  <c r="T26" i="9"/>
  <c r="R26" i="9"/>
  <c r="I26" i="9"/>
  <c r="H26" i="9"/>
  <c r="G26" i="9"/>
  <c r="F26" i="9"/>
  <c r="E26" i="9"/>
  <c r="U25" i="9"/>
  <c r="T25" i="9"/>
  <c r="R25" i="9"/>
  <c r="I25" i="9"/>
  <c r="H25" i="9"/>
  <c r="G25" i="9"/>
  <c r="F25" i="9"/>
  <c r="E25" i="9"/>
  <c r="U24" i="9"/>
  <c r="T24" i="9"/>
  <c r="R24" i="9"/>
  <c r="I24" i="9"/>
  <c r="H24" i="9"/>
  <c r="G24" i="9"/>
  <c r="F24" i="9"/>
  <c r="E24" i="9"/>
  <c r="U23" i="9"/>
  <c r="T23" i="9"/>
  <c r="R23" i="9"/>
  <c r="I23" i="9"/>
  <c r="H23" i="9"/>
  <c r="G23" i="9"/>
  <c r="F23" i="9"/>
  <c r="E23" i="9"/>
  <c r="U22" i="9"/>
  <c r="T22" i="9"/>
  <c r="R22" i="9"/>
  <c r="I22" i="9"/>
  <c r="H22" i="9"/>
  <c r="G22" i="9"/>
  <c r="F22" i="9"/>
  <c r="E22" i="9"/>
  <c r="U21" i="9"/>
  <c r="T21" i="9"/>
  <c r="R21" i="9"/>
  <c r="I21" i="9"/>
  <c r="H21" i="9"/>
  <c r="G21" i="9"/>
  <c r="F21" i="9"/>
  <c r="E21" i="9"/>
  <c r="U20" i="9"/>
  <c r="T20" i="9"/>
  <c r="R20" i="9"/>
  <c r="I20" i="9"/>
  <c r="H20" i="9"/>
  <c r="G20" i="9"/>
  <c r="F20" i="9"/>
  <c r="E20" i="9"/>
  <c r="U19" i="9"/>
  <c r="T19" i="9"/>
  <c r="R19" i="9"/>
  <c r="I19" i="9"/>
  <c r="H19" i="9"/>
  <c r="G19" i="9"/>
  <c r="F19" i="9"/>
  <c r="E19" i="9"/>
  <c r="U18" i="9"/>
  <c r="T18" i="9"/>
  <c r="R18" i="9"/>
  <c r="I18" i="9"/>
  <c r="H18" i="9"/>
  <c r="G18" i="9"/>
  <c r="F18" i="9"/>
  <c r="E18" i="9"/>
  <c r="U17" i="9"/>
  <c r="T17" i="9"/>
  <c r="R17" i="9"/>
  <c r="I17" i="9"/>
  <c r="H17" i="9"/>
  <c r="G17" i="9"/>
  <c r="F17" i="9"/>
  <c r="E17" i="9"/>
  <c r="U16" i="9"/>
  <c r="T16" i="9"/>
  <c r="R16" i="9"/>
  <c r="I16" i="9"/>
  <c r="H16" i="9"/>
  <c r="G16" i="9"/>
  <c r="F16" i="9"/>
  <c r="E16" i="9"/>
  <c r="U15" i="9"/>
  <c r="T15" i="9"/>
  <c r="R15" i="9"/>
  <c r="I15" i="9"/>
  <c r="H15" i="9"/>
  <c r="G15" i="9"/>
  <c r="F15" i="9"/>
  <c r="E15" i="9"/>
  <c r="U14" i="9"/>
  <c r="T14" i="9"/>
  <c r="R14" i="9"/>
  <c r="I14" i="9"/>
  <c r="H14" i="9"/>
  <c r="G14" i="9"/>
  <c r="F14" i="9"/>
  <c r="E14" i="9"/>
  <c r="U13" i="9"/>
  <c r="T13" i="9"/>
  <c r="R13" i="9"/>
  <c r="I13" i="9"/>
  <c r="H13" i="9"/>
  <c r="G13" i="9"/>
  <c r="F13" i="9"/>
  <c r="E13" i="9"/>
  <c r="U12" i="9"/>
  <c r="T12" i="9"/>
  <c r="R12" i="9"/>
  <c r="I12" i="9"/>
  <c r="H12" i="9"/>
  <c r="G12" i="9"/>
  <c r="F12" i="9"/>
  <c r="E12" i="9"/>
  <c r="U11" i="9"/>
  <c r="T11" i="9"/>
  <c r="R11" i="9"/>
  <c r="I11" i="9"/>
  <c r="H11" i="9"/>
  <c r="G11" i="9"/>
  <c r="F11" i="9"/>
  <c r="E11" i="9"/>
  <c r="U10" i="9"/>
  <c r="T10" i="9"/>
  <c r="R10" i="9"/>
  <c r="I10" i="9"/>
  <c r="H10" i="9"/>
  <c r="G10" i="9"/>
  <c r="F10" i="9"/>
  <c r="E10" i="9"/>
  <c r="U9" i="9"/>
  <c r="T9" i="9"/>
  <c r="R9" i="9"/>
  <c r="I9" i="9"/>
  <c r="H9" i="9"/>
  <c r="G9" i="9"/>
  <c r="F9" i="9"/>
  <c r="E9" i="9"/>
  <c r="U8" i="9"/>
  <c r="T8" i="9"/>
  <c r="R8" i="9"/>
  <c r="I8" i="9"/>
  <c r="H8" i="9"/>
  <c r="G8" i="9"/>
  <c r="F8" i="9"/>
  <c r="E8" i="9"/>
  <c r="U7" i="9"/>
  <c r="T7" i="9"/>
  <c r="R7" i="9"/>
  <c r="I7" i="9"/>
  <c r="H7" i="9"/>
  <c r="G7" i="9"/>
  <c r="F7" i="9"/>
  <c r="E7" i="9"/>
  <c r="U6" i="9"/>
  <c r="T6" i="9"/>
  <c r="R6" i="9"/>
  <c r="I6" i="9"/>
  <c r="H6" i="9"/>
  <c r="G6" i="9"/>
  <c r="F6" i="9"/>
  <c r="E6" i="9"/>
  <c r="U5" i="9"/>
  <c r="T5" i="9"/>
  <c r="R5" i="9"/>
  <c r="I5" i="9"/>
  <c r="H5" i="9"/>
  <c r="G5" i="9"/>
  <c r="F5" i="9"/>
  <c r="E5" i="9"/>
  <c r="U4" i="9"/>
  <c r="T4" i="9"/>
  <c r="R4" i="9"/>
  <c r="I4" i="9"/>
  <c r="H4" i="9"/>
  <c r="G4" i="9"/>
  <c r="F4" i="9"/>
  <c r="E4" i="9"/>
  <c r="U3" i="9"/>
  <c r="T3" i="9"/>
  <c r="R3" i="9"/>
  <c r="I3" i="9"/>
  <c r="H3" i="9"/>
  <c r="G3" i="9"/>
  <c r="F3" i="9"/>
  <c r="E3" i="9"/>
  <c r="A87" i="7"/>
  <c r="B87" i="7"/>
  <c r="C87" i="7"/>
  <c r="E87" i="7"/>
  <c r="F87" i="7"/>
  <c r="G87" i="7"/>
  <c r="H87" i="7"/>
  <c r="I87" i="7"/>
  <c r="J87" i="7"/>
  <c r="K87" i="7"/>
  <c r="L87" i="7"/>
  <c r="M87" i="7"/>
  <c r="N87" i="7"/>
  <c r="O87" i="7"/>
  <c r="P87" i="7"/>
  <c r="Y87" i="7"/>
  <c r="Z87" i="7"/>
  <c r="AA87" i="7"/>
  <c r="E87" i="4"/>
  <c r="G87" i="4"/>
  <c r="I87" i="4"/>
  <c r="K87" i="4"/>
  <c r="M87" i="4"/>
  <c r="U87" i="4"/>
  <c r="V87" i="4"/>
  <c r="X87" i="4"/>
  <c r="AA87" i="4"/>
  <c r="AE87" i="4"/>
  <c r="AB87" i="3"/>
  <c r="X87" i="9" s="1"/>
  <c r="AA87" i="3"/>
  <c r="Y87" i="3"/>
  <c r="Z87" i="3" s="1"/>
  <c r="X87" i="7" s="1"/>
  <c r="V87" i="3"/>
  <c r="W87" i="3" s="1"/>
  <c r="U87" i="7" s="1"/>
  <c r="A87" i="3"/>
  <c r="A87" i="9" s="1"/>
  <c r="B87" i="3"/>
  <c r="C87" i="3"/>
  <c r="C87" i="9" s="1"/>
  <c r="D87" i="3"/>
  <c r="D87" i="9" s="1"/>
  <c r="F87" i="3"/>
  <c r="G87" i="3"/>
  <c r="H87" i="3"/>
  <c r="I87" i="3"/>
  <c r="J87" i="3"/>
  <c r="J87" i="9" s="1"/>
  <c r="K87" i="3"/>
  <c r="L87" i="3"/>
  <c r="M87" i="3"/>
  <c r="K87" i="9" s="1"/>
  <c r="N87" i="3"/>
  <c r="L87" i="9" s="1"/>
  <c r="O87" i="3"/>
  <c r="M87" i="9" s="1"/>
  <c r="P87" i="3"/>
  <c r="N87" i="9" s="1"/>
  <c r="Q87" i="3"/>
  <c r="R87" i="3"/>
  <c r="V87" i="9" l="1"/>
  <c r="AC87" i="4"/>
  <c r="D87" i="4"/>
  <c r="B87" i="9"/>
  <c r="E87" i="3"/>
  <c r="W87" i="9"/>
  <c r="AD87" i="4"/>
  <c r="Q87" i="4"/>
  <c r="B87" i="4"/>
  <c r="T87" i="7"/>
  <c r="S87" i="4"/>
  <c r="F87" i="4"/>
  <c r="D87" i="7"/>
  <c r="P87" i="9"/>
  <c r="Q87" i="9"/>
  <c r="O87" i="4"/>
  <c r="S87" i="3"/>
  <c r="T87" i="3" s="1"/>
  <c r="O87" i="9"/>
  <c r="T87" i="4"/>
  <c r="P87" i="4"/>
  <c r="C87" i="4"/>
  <c r="R87" i="4"/>
  <c r="A87" i="4"/>
  <c r="Q87" i="7"/>
  <c r="AB87" i="4"/>
  <c r="W87" i="7"/>
  <c r="R87" i="7" l="1"/>
  <c r="S87" i="9"/>
  <c r="W87" i="4"/>
  <c r="S86" i="7" l="1"/>
  <c r="V86" i="7"/>
  <c r="Z86" i="7"/>
  <c r="AA86" i="7"/>
  <c r="A86" i="7"/>
  <c r="B86" i="7"/>
  <c r="C86" i="7"/>
  <c r="E86" i="7"/>
  <c r="F86" i="7"/>
  <c r="G86" i="7"/>
  <c r="H86" i="7"/>
  <c r="I86" i="7"/>
  <c r="J86" i="7"/>
  <c r="K86" i="7"/>
  <c r="L86" i="7"/>
  <c r="M86" i="7"/>
  <c r="N86" i="7"/>
  <c r="O86" i="7"/>
  <c r="P86" i="7"/>
  <c r="A86" i="4"/>
  <c r="E86" i="4"/>
  <c r="G86" i="4"/>
  <c r="I86" i="4"/>
  <c r="K86" i="4"/>
  <c r="M86" i="4"/>
  <c r="V86" i="4"/>
  <c r="X86" i="4"/>
  <c r="AA86" i="4"/>
  <c r="AE86" i="4"/>
  <c r="A86" i="3"/>
  <c r="A86" i="9" s="1"/>
  <c r="B86" i="3"/>
  <c r="B86" i="9" s="1"/>
  <c r="C86" i="3"/>
  <c r="D86" i="3"/>
  <c r="F86" i="3"/>
  <c r="G86" i="3"/>
  <c r="H86" i="3"/>
  <c r="I86" i="3"/>
  <c r="J86" i="3"/>
  <c r="J86" i="9" s="1"/>
  <c r="K86" i="3"/>
  <c r="L86" i="3"/>
  <c r="M86" i="3"/>
  <c r="N86" i="3"/>
  <c r="O86" i="3"/>
  <c r="P86" i="3"/>
  <c r="N86" i="9" s="1"/>
  <c r="Q86" i="3"/>
  <c r="R86" i="3"/>
  <c r="V86" i="3"/>
  <c r="W86" i="3" s="1"/>
  <c r="U86" i="7" s="1"/>
  <c r="Y86" i="3"/>
  <c r="W86" i="7" s="1"/>
  <c r="AA86" i="3"/>
  <c r="AD86" i="4" s="1"/>
  <c r="AB86" i="3"/>
  <c r="X86" i="9" s="1"/>
  <c r="S85" i="7"/>
  <c r="V85" i="7"/>
  <c r="Z85" i="7"/>
  <c r="AA85" i="7"/>
  <c r="A85" i="7"/>
  <c r="B85" i="7"/>
  <c r="C85" i="7"/>
  <c r="E85" i="7"/>
  <c r="F85" i="7"/>
  <c r="G85" i="7"/>
  <c r="H85" i="7"/>
  <c r="I85" i="7"/>
  <c r="J85" i="7"/>
  <c r="K85" i="7"/>
  <c r="L85" i="7"/>
  <c r="M85" i="7"/>
  <c r="N85" i="7"/>
  <c r="O85" i="7"/>
  <c r="P85" i="7"/>
  <c r="E82" i="4"/>
  <c r="E83" i="4"/>
  <c r="E84" i="4"/>
  <c r="E85" i="4"/>
  <c r="G82" i="4"/>
  <c r="G83" i="4"/>
  <c r="G84" i="4"/>
  <c r="G85" i="4"/>
  <c r="I82" i="4"/>
  <c r="I83" i="4"/>
  <c r="I84" i="4"/>
  <c r="I85" i="4"/>
  <c r="K82" i="4"/>
  <c r="K83" i="4"/>
  <c r="K84" i="4"/>
  <c r="K85" i="4"/>
  <c r="M82" i="4"/>
  <c r="M83" i="4"/>
  <c r="M84" i="4"/>
  <c r="M85" i="4"/>
  <c r="V82" i="4"/>
  <c r="V83" i="4"/>
  <c r="V84" i="4"/>
  <c r="V85" i="4"/>
  <c r="X82" i="4"/>
  <c r="X83" i="4"/>
  <c r="X84" i="4"/>
  <c r="X85" i="4"/>
  <c r="AA82" i="4"/>
  <c r="AA83" i="4"/>
  <c r="AA84" i="4"/>
  <c r="AA85" i="4"/>
  <c r="AB85" i="3"/>
  <c r="AA85" i="3"/>
  <c r="Y85" i="3"/>
  <c r="Z85" i="3" s="1"/>
  <c r="V85" i="3"/>
  <c r="AB84" i="3"/>
  <c r="AA84" i="3"/>
  <c r="Y84" i="3"/>
  <c r="Z84" i="3" s="1"/>
  <c r="V84" i="3"/>
  <c r="AB83" i="3"/>
  <c r="AA83" i="3"/>
  <c r="Y83" i="3"/>
  <c r="Z83" i="3" s="1"/>
  <c r="V83" i="3"/>
  <c r="AB82" i="3"/>
  <c r="AA82" i="3"/>
  <c r="Y82" i="3"/>
  <c r="Z82" i="3" s="1"/>
  <c r="V82" i="3"/>
  <c r="T82" i="7" s="1"/>
  <c r="A82" i="3"/>
  <c r="A83" i="3"/>
  <c r="A84" i="3"/>
  <c r="B82" i="3"/>
  <c r="B83" i="3"/>
  <c r="B84" i="3"/>
  <c r="C82" i="3"/>
  <c r="C83" i="3"/>
  <c r="C84" i="3"/>
  <c r="D82" i="3"/>
  <c r="D83" i="3"/>
  <c r="D84" i="3"/>
  <c r="F82" i="3"/>
  <c r="F83" i="3"/>
  <c r="F84" i="3"/>
  <c r="G82" i="3"/>
  <c r="G83" i="3"/>
  <c r="G84" i="3"/>
  <c r="G85" i="3"/>
  <c r="H82" i="3"/>
  <c r="H83" i="3"/>
  <c r="H84" i="3"/>
  <c r="H85" i="3"/>
  <c r="I82" i="3"/>
  <c r="I83" i="3"/>
  <c r="I84" i="3"/>
  <c r="I85" i="3"/>
  <c r="J82" i="3"/>
  <c r="J83" i="3"/>
  <c r="J84" i="3"/>
  <c r="J85" i="3"/>
  <c r="K82" i="3"/>
  <c r="K83" i="3"/>
  <c r="K84" i="3"/>
  <c r="K85" i="3"/>
  <c r="L82" i="3"/>
  <c r="L83" i="3"/>
  <c r="L84" i="3"/>
  <c r="L85" i="3"/>
  <c r="M82" i="3"/>
  <c r="M83" i="3"/>
  <c r="M84" i="3"/>
  <c r="M85" i="3"/>
  <c r="N82" i="3"/>
  <c r="N83" i="3"/>
  <c r="N84" i="3"/>
  <c r="N85" i="3"/>
  <c r="O82" i="3"/>
  <c r="O83" i="3"/>
  <c r="O84" i="3"/>
  <c r="O85" i="3"/>
  <c r="P82" i="3"/>
  <c r="P83" i="3"/>
  <c r="P84" i="3"/>
  <c r="P85" i="3"/>
  <c r="Q82" i="3"/>
  <c r="Q83" i="3"/>
  <c r="Q84" i="3"/>
  <c r="Q85" i="3"/>
  <c r="R82" i="3"/>
  <c r="R83" i="3"/>
  <c r="R84" i="3"/>
  <c r="R85" i="3"/>
  <c r="S82" i="3"/>
  <c r="T82" i="3" s="1"/>
  <c r="S83" i="3"/>
  <c r="T83" i="3" s="1"/>
  <c r="S84" i="3"/>
  <c r="T84" i="3" s="1"/>
  <c r="S85" i="3"/>
  <c r="T85" i="3" s="1"/>
  <c r="B66" i="3"/>
  <c r="B66" i="9" s="1"/>
  <c r="AA81" i="7"/>
  <c r="Z81" i="7"/>
  <c r="AA80" i="7"/>
  <c r="Z80" i="7"/>
  <c r="V81" i="7"/>
  <c r="V80" i="7"/>
  <c r="S81" i="7"/>
  <c r="S80" i="7"/>
  <c r="E80" i="4"/>
  <c r="E81" i="4"/>
  <c r="G80" i="4"/>
  <c r="G81" i="4"/>
  <c r="I80" i="4"/>
  <c r="I81" i="4"/>
  <c r="K80" i="4"/>
  <c r="K81" i="4"/>
  <c r="M80" i="4"/>
  <c r="M81" i="4"/>
  <c r="V80" i="4"/>
  <c r="V81" i="4"/>
  <c r="X80" i="4"/>
  <c r="X81" i="4"/>
  <c r="AA80" i="4"/>
  <c r="AA81" i="4"/>
  <c r="A80" i="3"/>
  <c r="A81" i="3"/>
  <c r="B80" i="3"/>
  <c r="B81" i="3"/>
  <c r="C80" i="3"/>
  <c r="C81" i="3"/>
  <c r="D80" i="3"/>
  <c r="D81" i="3"/>
  <c r="F80" i="3"/>
  <c r="F81" i="3"/>
  <c r="G80" i="3"/>
  <c r="G81" i="3"/>
  <c r="H80" i="3"/>
  <c r="H81" i="3"/>
  <c r="I80" i="3"/>
  <c r="I81" i="3"/>
  <c r="J80" i="3"/>
  <c r="J81" i="3"/>
  <c r="K80" i="3"/>
  <c r="K81" i="3"/>
  <c r="L80" i="3"/>
  <c r="L81" i="3"/>
  <c r="M80" i="3"/>
  <c r="M81" i="3"/>
  <c r="N80" i="3"/>
  <c r="N81" i="3"/>
  <c r="O80" i="3"/>
  <c r="O81" i="3"/>
  <c r="P80" i="3"/>
  <c r="N80" i="9" s="1"/>
  <c r="P81" i="3"/>
  <c r="Q80" i="3"/>
  <c r="Q81" i="3"/>
  <c r="R80" i="3"/>
  <c r="R81" i="3"/>
  <c r="V80" i="3"/>
  <c r="V81" i="3"/>
  <c r="Y80" i="3"/>
  <c r="Z80" i="3" s="1"/>
  <c r="Y81" i="3"/>
  <c r="W81" i="7" s="1"/>
  <c r="AA80" i="3"/>
  <c r="AA81" i="3"/>
  <c r="AB80" i="3"/>
  <c r="AB81" i="3"/>
  <c r="V76" i="3"/>
  <c r="Y76" i="3"/>
  <c r="Z76" i="3" s="1"/>
  <c r="AA76" i="3"/>
  <c r="AB76" i="3"/>
  <c r="V77" i="3"/>
  <c r="T77" i="7" s="1"/>
  <c r="Y77" i="3"/>
  <c r="Z77" i="3" s="1"/>
  <c r="AA77" i="3"/>
  <c r="AB77" i="3"/>
  <c r="V78" i="3"/>
  <c r="T78" i="7" s="1"/>
  <c r="Y78" i="3"/>
  <c r="Z78" i="3" s="1"/>
  <c r="AA78" i="3"/>
  <c r="AB78" i="3"/>
  <c r="V79" i="3"/>
  <c r="T79" i="7" s="1"/>
  <c r="Y79" i="3"/>
  <c r="Z79" i="3" s="1"/>
  <c r="AA79" i="3"/>
  <c r="AB79" i="3"/>
  <c r="S76" i="7"/>
  <c r="V76" i="7"/>
  <c r="S77" i="7"/>
  <c r="V77" i="7"/>
  <c r="S78" i="7"/>
  <c r="V78" i="7"/>
  <c r="S79" i="7"/>
  <c r="V79" i="7"/>
  <c r="S82" i="7"/>
  <c r="V82" i="7"/>
  <c r="S83" i="7"/>
  <c r="V83" i="7"/>
  <c r="S84" i="7"/>
  <c r="V84" i="7"/>
  <c r="A84" i="7"/>
  <c r="B84" i="7"/>
  <c r="C84" i="7"/>
  <c r="E84" i="7"/>
  <c r="F84" i="7"/>
  <c r="G84" i="7"/>
  <c r="H84" i="7"/>
  <c r="I84" i="7"/>
  <c r="J84" i="7"/>
  <c r="K84" i="7"/>
  <c r="L84" i="7"/>
  <c r="M84" i="7"/>
  <c r="N84" i="7"/>
  <c r="O84" i="7"/>
  <c r="P84" i="7"/>
  <c r="Z84" i="7"/>
  <c r="AA84" i="7"/>
  <c r="A82" i="7"/>
  <c r="A83" i="7"/>
  <c r="B82" i="7"/>
  <c r="B83" i="7"/>
  <c r="C82" i="7"/>
  <c r="C83" i="7"/>
  <c r="E82" i="7"/>
  <c r="E83" i="7"/>
  <c r="F82" i="7"/>
  <c r="F83" i="7"/>
  <c r="G82" i="7"/>
  <c r="G83" i="7"/>
  <c r="H82" i="7"/>
  <c r="H83" i="7"/>
  <c r="I82" i="7"/>
  <c r="I83" i="7"/>
  <c r="J82" i="7"/>
  <c r="J83" i="7"/>
  <c r="K82" i="7"/>
  <c r="K83" i="7"/>
  <c r="L82" i="7"/>
  <c r="L83" i="7"/>
  <c r="M82" i="7"/>
  <c r="M83" i="7"/>
  <c r="N82" i="7"/>
  <c r="N83" i="7"/>
  <c r="O82" i="7"/>
  <c r="O83" i="7"/>
  <c r="P82" i="7"/>
  <c r="P83" i="7"/>
  <c r="Z82" i="7"/>
  <c r="Z83" i="7"/>
  <c r="AA82" i="7"/>
  <c r="AA83" i="7"/>
  <c r="A80" i="7"/>
  <c r="A81" i="7"/>
  <c r="B80" i="7"/>
  <c r="B81" i="7"/>
  <c r="C80" i="7"/>
  <c r="C81" i="7"/>
  <c r="E80" i="7"/>
  <c r="E81" i="7"/>
  <c r="F80" i="7"/>
  <c r="F81" i="7"/>
  <c r="G80" i="7"/>
  <c r="G81" i="7"/>
  <c r="H80" i="7"/>
  <c r="H81" i="7"/>
  <c r="I80" i="7"/>
  <c r="I81" i="7"/>
  <c r="J80" i="7"/>
  <c r="J81" i="7"/>
  <c r="K80" i="7"/>
  <c r="K81" i="7"/>
  <c r="L80" i="7"/>
  <c r="L81" i="7"/>
  <c r="M80" i="7"/>
  <c r="M81" i="7"/>
  <c r="N80" i="7"/>
  <c r="N81" i="7"/>
  <c r="O80" i="7"/>
  <c r="O81" i="7"/>
  <c r="P80" i="7"/>
  <c r="P81" i="7"/>
  <c r="A76" i="7"/>
  <c r="F76" i="4" s="1"/>
  <c r="A77" i="7"/>
  <c r="A78" i="7"/>
  <c r="A79" i="7"/>
  <c r="B76" i="7"/>
  <c r="B77" i="7"/>
  <c r="B78" i="7"/>
  <c r="B79" i="7"/>
  <c r="C76" i="7"/>
  <c r="C77" i="7"/>
  <c r="C78" i="7"/>
  <c r="C79" i="7"/>
  <c r="D76" i="7"/>
  <c r="E76" i="7"/>
  <c r="E77" i="7"/>
  <c r="E78" i="7"/>
  <c r="E79" i="7"/>
  <c r="F76" i="7"/>
  <c r="F77" i="7"/>
  <c r="F78" i="7"/>
  <c r="F79" i="7"/>
  <c r="G76" i="7"/>
  <c r="G77" i="7"/>
  <c r="G78" i="7"/>
  <c r="G79" i="7"/>
  <c r="H76" i="7"/>
  <c r="H77" i="7"/>
  <c r="H78" i="7"/>
  <c r="H79" i="7"/>
  <c r="I76" i="7"/>
  <c r="I77" i="7"/>
  <c r="I78" i="7"/>
  <c r="I79" i="7"/>
  <c r="J76" i="7"/>
  <c r="J77" i="7"/>
  <c r="J78" i="7"/>
  <c r="J79" i="7"/>
  <c r="K76" i="7"/>
  <c r="K77" i="7"/>
  <c r="K78" i="7"/>
  <c r="K79" i="7"/>
  <c r="L76" i="7"/>
  <c r="L77" i="7"/>
  <c r="L78" i="7"/>
  <c r="L79" i="7"/>
  <c r="M76" i="7"/>
  <c r="M77" i="7"/>
  <c r="M78" i="7"/>
  <c r="M79" i="7"/>
  <c r="N76" i="7"/>
  <c r="N77" i="7"/>
  <c r="N78" i="7"/>
  <c r="N79" i="7"/>
  <c r="O76" i="7"/>
  <c r="O77" i="7"/>
  <c r="O78" i="7"/>
  <c r="O79" i="7"/>
  <c r="P76" i="7"/>
  <c r="P77" i="7"/>
  <c r="Q77" i="7" s="1"/>
  <c r="P78" i="7"/>
  <c r="Q78" i="7" s="1"/>
  <c r="P79" i="7"/>
  <c r="Q76" i="7"/>
  <c r="Z76" i="7"/>
  <c r="Z77" i="7"/>
  <c r="Z78" i="7"/>
  <c r="Z79" i="7"/>
  <c r="AA76" i="7"/>
  <c r="AA77" i="7"/>
  <c r="AA78" i="7"/>
  <c r="AA79" i="7"/>
  <c r="E76" i="4"/>
  <c r="E77" i="4"/>
  <c r="E78" i="4"/>
  <c r="E79" i="4"/>
  <c r="G76" i="4"/>
  <c r="G77" i="4"/>
  <c r="G78" i="4"/>
  <c r="G79" i="4"/>
  <c r="I76" i="4"/>
  <c r="I77" i="4"/>
  <c r="I78" i="4"/>
  <c r="I79" i="4"/>
  <c r="K76" i="4"/>
  <c r="K77" i="4"/>
  <c r="K78" i="4"/>
  <c r="K79" i="4"/>
  <c r="M76" i="4"/>
  <c r="M77" i="4"/>
  <c r="M78" i="4"/>
  <c r="M79" i="4"/>
  <c r="V76" i="4"/>
  <c r="V77" i="4"/>
  <c r="V78" i="4"/>
  <c r="V79" i="4"/>
  <c r="X76" i="4"/>
  <c r="X77" i="4"/>
  <c r="X78" i="4"/>
  <c r="X79" i="4"/>
  <c r="AA76" i="4"/>
  <c r="AA77" i="4"/>
  <c r="AA78" i="4"/>
  <c r="AA79" i="4"/>
  <c r="A76" i="3"/>
  <c r="A77" i="3"/>
  <c r="A78" i="3"/>
  <c r="A79" i="3"/>
  <c r="A85" i="3"/>
  <c r="B76" i="3"/>
  <c r="B77" i="3"/>
  <c r="B78" i="3"/>
  <c r="B79" i="3"/>
  <c r="B85" i="3"/>
  <c r="C76" i="3"/>
  <c r="C77" i="3"/>
  <c r="C78" i="3"/>
  <c r="C79" i="3"/>
  <c r="C85" i="3"/>
  <c r="D76" i="3"/>
  <c r="D77" i="3"/>
  <c r="D78" i="3"/>
  <c r="D79" i="3"/>
  <c r="D85" i="3"/>
  <c r="F76" i="3"/>
  <c r="F77" i="3"/>
  <c r="F78" i="3"/>
  <c r="F79" i="3"/>
  <c r="F85" i="3"/>
  <c r="G76" i="3"/>
  <c r="G77" i="3"/>
  <c r="G78" i="3"/>
  <c r="G79" i="3"/>
  <c r="H76" i="3"/>
  <c r="H77" i="3"/>
  <c r="H78" i="3"/>
  <c r="H79" i="3"/>
  <c r="I76" i="3"/>
  <c r="I77" i="3"/>
  <c r="I78" i="3"/>
  <c r="I79" i="3"/>
  <c r="J76" i="3"/>
  <c r="J77" i="3"/>
  <c r="J78" i="3"/>
  <c r="J79" i="3"/>
  <c r="K76" i="3"/>
  <c r="K77" i="3"/>
  <c r="K78" i="3"/>
  <c r="K79" i="3"/>
  <c r="L76" i="3"/>
  <c r="L77" i="3"/>
  <c r="L78" i="3"/>
  <c r="L79" i="3"/>
  <c r="M76" i="3"/>
  <c r="M77" i="3"/>
  <c r="M78" i="3"/>
  <c r="M79" i="3"/>
  <c r="N76" i="3"/>
  <c r="N77" i="3"/>
  <c r="N78" i="3"/>
  <c r="N79" i="3"/>
  <c r="O76" i="3"/>
  <c r="O77" i="3"/>
  <c r="O78" i="3"/>
  <c r="O79" i="3"/>
  <c r="P76" i="3"/>
  <c r="P77" i="3"/>
  <c r="P78" i="3"/>
  <c r="P79" i="3"/>
  <c r="Q76" i="3"/>
  <c r="Q77" i="3"/>
  <c r="Q78" i="3"/>
  <c r="Q79" i="3"/>
  <c r="R76" i="3"/>
  <c r="R77" i="3"/>
  <c r="R78" i="3"/>
  <c r="R79" i="3"/>
  <c r="Y83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65" i="4"/>
  <c r="AA66" i="4"/>
  <c r="AA67" i="4"/>
  <c r="S72" i="7"/>
  <c r="V72" i="7"/>
  <c r="S73" i="7"/>
  <c r="V73" i="7"/>
  <c r="S74" i="7"/>
  <c r="V74" i="7"/>
  <c r="S75" i="7"/>
  <c r="V75" i="7"/>
  <c r="A75" i="7"/>
  <c r="B75" i="7"/>
  <c r="C75" i="7"/>
  <c r="E75" i="7"/>
  <c r="F75" i="7"/>
  <c r="G75" i="7"/>
  <c r="H75" i="7"/>
  <c r="I75" i="7"/>
  <c r="J75" i="7"/>
  <c r="K75" i="7"/>
  <c r="L75" i="7"/>
  <c r="M75" i="7"/>
  <c r="N75" i="7"/>
  <c r="O75" i="7"/>
  <c r="P75" i="7"/>
  <c r="Z75" i="7"/>
  <c r="A72" i="7"/>
  <c r="A73" i="7"/>
  <c r="A74" i="7"/>
  <c r="B72" i="7"/>
  <c r="B73" i="7"/>
  <c r="B74" i="7"/>
  <c r="C72" i="7"/>
  <c r="C73" i="7"/>
  <c r="C74" i="7"/>
  <c r="E72" i="7"/>
  <c r="E73" i="7"/>
  <c r="E74" i="7"/>
  <c r="F72" i="7"/>
  <c r="F73" i="7"/>
  <c r="F74" i="7"/>
  <c r="G72" i="7"/>
  <c r="G73" i="7"/>
  <c r="G74" i="7"/>
  <c r="H72" i="7"/>
  <c r="H73" i="7"/>
  <c r="H74" i="7"/>
  <c r="I72" i="7"/>
  <c r="I73" i="7"/>
  <c r="I74" i="7"/>
  <c r="J72" i="7"/>
  <c r="J73" i="7"/>
  <c r="J74" i="7"/>
  <c r="K72" i="7"/>
  <c r="K73" i="7"/>
  <c r="K74" i="7"/>
  <c r="L72" i="7"/>
  <c r="L73" i="7"/>
  <c r="L74" i="7"/>
  <c r="M72" i="7"/>
  <c r="M73" i="7"/>
  <c r="M74" i="7"/>
  <c r="N72" i="7"/>
  <c r="N73" i="7"/>
  <c r="N74" i="7"/>
  <c r="O72" i="7"/>
  <c r="O73" i="7"/>
  <c r="O74" i="7"/>
  <c r="P72" i="7"/>
  <c r="P73" i="7"/>
  <c r="P74" i="7"/>
  <c r="Z72" i="7"/>
  <c r="Z73" i="7"/>
  <c r="Z74" i="7"/>
  <c r="E74" i="4"/>
  <c r="E75" i="4"/>
  <c r="G74" i="4"/>
  <c r="G75" i="4"/>
  <c r="I74" i="4"/>
  <c r="I75" i="4"/>
  <c r="K74" i="4"/>
  <c r="K75" i="4"/>
  <c r="M74" i="4"/>
  <c r="M75" i="4"/>
  <c r="V74" i="4"/>
  <c r="V75" i="4"/>
  <c r="X74" i="4"/>
  <c r="X75" i="4"/>
  <c r="AA74" i="4"/>
  <c r="AA75" i="4"/>
  <c r="A75" i="3"/>
  <c r="B75" i="3"/>
  <c r="C75" i="3"/>
  <c r="D75" i="3"/>
  <c r="F75" i="3"/>
  <c r="G75" i="3"/>
  <c r="H75" i="3"/>
  <c r="I75" i="3"/>
  <c r="J75" i="3"/>
  <c r="K75" i="3"/>
  <c r="L75" i="3"/>
  <c r="M75" i="3"/>
  <c r="N75" i="3"/>
  <c r="O75" i="3"/>
  <c r="P75" i="3"/>
  <c r="N75" i="9" s="1"/>
  <c r="Q75" i="3"/>
  <c r="R75" i="3"/>
  <c r="V75" i="3"/>
  <c r="Y75" i="3"/>
  <c r="W75" i="7" s="1"/>
  <c r="AA75" i="3"/>
  <c r="AB75" i="3"/>
  <c r="G74" i="3"/>
  <c r="H74" i="3"/>
  <c r="I74" i="3"/>
  <c r="J74" i="3"/>
  <c r="K74" i="3"/>
  <c r="L74" i="3"/>
  <c r="M74" i="3"/>
  <c r="N74" i="3"/>
  <c r="O74" i="3"/>
  <c r="P74" i="3"/>
  <c r="Q74" i="3"/>
  <c r="R74" i="3"/>
  <c r="V74" i="3"/>
  <c r="T74" i="7" s="1"/>
  <c r="Y74" i="3"/>
  <c r="W74" i="7" s="1"/>
  <c r="AA74" i="3"/>
  <c r="AB74" i="3"/>
  <c r="X85" i="7" l="1"/>
  <c r="AC85" i="4"/>
  <c r="V85" i="9"/>
  <c r="X84" i="7"/>
  <c r="V84" i="9"/>
  <c r="AC84" i="4"/>
  <c r="X83" i="7"/>
  <c r="AC83" i="4"/>
  <c r="V83" i="9"/>
  <c r="X82" i="7"/>
  <c r="V82" i="9"/>
  <c r="AC82" i="4"/>
  <c r="X80" i="7"/>
  <c r="V80" i="9"/>
  <c r="AC80" i="4"/>
  <c r="AB79" i="4"/>
  <c r="AC79" i="4"/>
  <c r="V79" i="9"/>
  <c r="AB78" i="4"/>
  <c r="V78" i="9"/>
  <c r="AC78" i="4"/>
  <c r="X77" i="7"/>
  <c r="AC77" i="4"/>
  <c r="V77" i="9"/>
  <c r="AB76" i="4"/>
  <c r="V76" i="9"/>
  <c r="AC76" i="4"/>
  <c r="B86" i="4"/>
  <c r="Q86" i="7"/>
  <c r="U81" i="4"/>
  <c r="P81" i="9"/>
  <c r="Q81" i="9"/>
  <c r="S81" i="4"/>
  <c r="N81" i="9"/>
  <c r="Q81" i="4"/>
  <c r="L81" i="9"/>
  <c r="O81" i="4"/>
  <c r="J81" i="9"/>
  <c r="C81" i="4"/>
  <c r="C81" i="9"/>
  <c r="A81" i="4"/>
  <c r="A81" i="9"/>
  <c r="W84" i="4"/>
  <c r="S84" i="9"/>
  <c r="U84" i="4"/>
  <c r="P84" i="9"/>
  <c r="Q84" i="9"/>
  <c r="T84" i="4"/>
  <c r="O84" i="9"/>
  <c r="S84" i="4"/>
  <c r="N84" i="9"/>
  <c r="R84" i="4"/>
  <c r="M84" i="9"/>
  <c r="Q84" i="4"/>
  <c r="L84" i="9"/>
  <c r="P84" i="4"/>
  <c r="K84" i="9"/>
  <c r="O84" i="4"/>
  <c r="J84" i="9"/>
  <c r="D83" i="4"/>
  <c r="D83" i="9"/>
  <c r="C82" i="4"/>
  <c r="C82" i="9"/>
  <c r="A84" i="4"/>
  <c r="A84" i="9"/>
  <c r="D86" i="4"/>
  <c r="D86" i="9"/>
  <c r="Y74" i="7"/>
  <c r="W74" i="9"/>
  <c r="T74" i="4"/>
  <c r="O74" i="9"/>
  <c r="P74" i="4"/>
  <c r="K74" i="9"/>
  <c r="Y75" i="7"/>
  <c r="W75" i="9"/>
  <c r="T75" i="4"/>
  <c r="O75" i="9"/>
  <c r="P75" i="4"/>
  <c r="K75" i="9"/>
  <c r="D75" i="4"/>
  <c r="D75" i="9"/>
  <c r="P76" i="9"/>
  <c r="Q76" i="9"/>
  <c r="T76" i="4"/>
  <c r="O76" i="9"/>
  <c r="S76" i="4"/>
  <c r="N76" i="9"/>
  <c r="R76" i="4"/>
  <c r="M76" i="9"/>
  <c r="Q76" i="4"/>
  <c r="L76" i="9"/>
  <c r="P76" i="4"/>
  <c r="K76" i="9"/>
  <c r="O76" i="4"/>
  <c r="J76" i="9"/>
  <c r="D78" i="4"/>
  <c r="D78" i="9"/>
  <c r="C79" i="4"/>
  <c r="C79" i="9"/>
  <c r="E85" i="3"/>
  <c r="B85" i="9"/>
  <c r="B76" i="4"/>
  <c r="B76" i="9"/>
  <c r="A77" i="4"/>
  <c r="A77" i="9"/>
  <c r="D79" i="7"/>
  <c r="F79" i="4"/>
  <c r="D81" i="7"/>
  <c r="F81" i="4"/>
  <c r="D84" i="7"/>
  <c r="F84" i="4"/>
  <c r="Y79" i="7"/>
  <c r="W79" i="9"/>
  <c r="AD78" i="4"/>
  <c r="W78" i="9"/>
  <c r="AD77" i="4"/>
  <c r="W77" i="9"/>
  <c r="Y76" i="7"/>
  <c r="W76" i="9"/>
  <c r="AE80" i="4"/>
  <c r="X80" i="9"/>
  <c r="P80" i="9"/>
  <c r="Q80" i="9"/>
  <c r="Q80" i="4"/>
  <c r="L80" i="9"/>
  <c r="O80" i="4"/>
  <c r="J80" i="9"/>
  <c r="C80" i="4"/>
  <c r="C80" i="9"/>
  <c r="A80" i="4"/>
  <c r="A80" i="9"/>
  <c r="W83" i="4"/>
  <c r="S83" i="9"/>
  <c r="U83" i="4"/>
  <c r="P83" i="9"/>
  <c r="Q83" i="9"/>
  <c r="T83" i="4"/>
  <c r="O83" i="9"/>
  <c r="S83" i="4"/>
  <c r="N83" i="9"/>
  <c r="R83" i="4"/>
  <c r="M83" i="9"/>
  <c r="Q83" i="4"/>
  <c r="L83" i="9"/>
  <c r="P83" i="4"/>
  <c r="K83" i="9"/>
  <c r="O83" i="4"/>
  <c r="J83" i="9"/>
  <c r="D82" i="4"/>
  <c r="D82" i="9"/>
  <c r="B84" i="4"/>
  <c r="B84" i="9"/>
  <c r="A83" i="4"/>
  <c r="A83" i="9"/>
  <c r="AD82" i="4"/>
  <c r="W82" i="9"/>
  <c r="AD83" i="4"/>
  <c r="W83" i="9"/>
  <c r="Y84" i="7"/>
  <c r="W84" i="9"/>
  <c r="Y85" i="7"/>
  <c r="W85" i="9"/>
  <c r="D85" i="7"/>
  <c r="F85" i="4"/>
  <c r="R86" i="4"/>
  <c r="M86" i="9"/>
  <c r="C86" i="4"/>
  <c r="C86" i="9"/>
  <c r="S74" i="4"/>
  <c r="N74" i="9"/>
  <c r="C75" i="4"/>
  <c r="C75" i="9"/>
  <c r="D74" i="7"/>
  <c r="F74" i="4"/>
  <c r="P79" i="9"/>
  <c r="Q79" i="9"/>
  <c r="T79" i="4"/>
  <c r="O79" i="9"/>
  <c r="S79" i="4"/>
  <c r="N79" i="9"/>
  <c r="R79" i="4"/>
  <c r="M79" i="9"/>
  <c r="Q79" i="4"/>
  <c r="L79" i="9"/>
  <c r="P79" i="4"/>
  <c r="K79" i="9"/>
  <c r="O79" i="4"/>
  <c r="J79" i="9"/>
  <c r="D77" i="4"/>
  <c r="D77" i="9"/>
  <c r="C78" i="4"/>
  <c r="C78" i="9"/>
  <c r="E79" i="3"/>
  <c r="B79" i="9"/>
  <c r="A85" i="4"/>
  <c r="A85" i="9"/>
  <c r="A76" i="4"/>
  <c r="A76" i="9"/>
  <c r="D78" i="7"/>
  <c r="F78" i="4"/>
  <c r="D80" i="7"/>
  <c r="F80" i="4"/>
  <c r="AD81" i="4"/>
  <c r="W81" i="9"/>
  <c r="T81" i="4"/>
  <c r="O81" i="9"/>
  <c r="R81" i="4"/>
  <c r="M81" i="9"/>
  <c r="P81" i="4"/>
  <c r="K81" i="9"/>
  <c r="D81" i="4"/>
  <c r="D81" i="9"/>
  <c r="B81" i="4"/>
  <c r="B81" i="9"/>
  <c r="W82" i="4"/>
  <c r="S82" i="9"/>
  <c r="U82" i="4"/>
  <c r="P82" i="9"/>
  <c r="Q82" i="9"/>
  <c r="T82" i="4"/>
  <c r="O82" i="9"/>
  <c r="S82" i="4"/>
  <c r="N82" i="9"/>
  <c r="R82" i="4"/>
  <c r="M82" i="9"/>
  <c r="Q82" i="4"/>
  <c r="L82" i="9"/>
  <c r="P82" i="4"/>
  <c r="K82" i="9"/>
  <c r="O82" i="4"/>
  <c r="J82" i="9"/>
  <c r="E84" i="3"/>
  <c r="C84" i="4"/>
  <c r="C84" i="9"/>
  <c r="B83" i="4"/>
  <c r="B83" i="9"/>
  <c r="A82" i="4"/>
  <c r="A82" i="9"/>
  <c r="AE82" i="4"/>
  <c r="X82" i="9"/>
  <c r="AE83" i="4"/>
  <c r="X83" i="9"/>
  <c r="AE84" i="4"/>
  <c r="X84" i="9"/>
  <c r="AE85" i="4"/>
  <c r="X85" i="9"/>
  <c r="U86" i="4"/>
  <c r="P86" i="9"/>
  <c r="Q86" i="9"/>
  <c r="Q86" i="4"/>
  <c r="L86" i="9"/>
  <c r="O86" i="4"/>
  <c r="R74" i="4"/>
  <c r="M74" i="9"/>
  <c r="R75" i="4"/>
  <c r="M75" i="9"/>
  <c r="B75" i="4"/>
  <c r="B75" i="9"/>
  <c r="D73" i="7"/>
  <c r="F73" i="4"/>
  <c r="P78" i="9"/>
  <c r="Q78" i="9"/>
  <c r="T78" i="4"/>
  <c r="O78" i="9"/>
  <c r="S78" i="4"/>
  <c r="N78" i="9"/>
  <c r="R78" i="4"/>
  <c r="M78" i="9"/>
  <c r="Q78" i="4"/>
  <c r="L78" i="9"/>
  <c r="P78" i="4"/>
  <c r="K78" i="9"/>
  <c r="O78" i="4"/>
  <c r="J78" i="9"/>
  <c r="D85" i="4"/>
  <c r="D85" i="9"/>
  <c r="D76" i="4"/>
  <c r="D76" i="9"/>
  <c r="C77" i="4"/>
  <c r="C77" i="9"/>
  <c r="E78" i="3"/>
  <c r="B78" i="9"/>
  <c r="A79" i="4"/>
  <c r="A79" i="9"/>
  <c r="D77" i="7"/>
  <c r="F77" i="4"/>
  <c r="D83" i="7"/>
  <c r="F83" i="4"/>
  <c r="AD80" i="4"/>
  <c r="W80" i="9"/>
  <c r="W80" i="3"/>
  <c r="T80" i="4"/>
  <c r="O80" i="9"/>
  <c r="R80" i="4"/>
  <c r="M80" i="9"/>
  <c r="P80" i="4"/>
  <c r="K80" i="9"/>
  <c r="D80" i="4"/>
  <c r="D80" i="9"/>
  <c r="E80" i="3"/>
  <c r="B80" i="9"/>
  <c r="R85" i="7"/>
  <c r="S85" i="9"/>
  <c r="U85" i="4"/>
  <c r="P85" i="9"/>
  <c r="Q85" i="9"/>
  <c r="T85" i="4"/>
  <c r="O85" i="9"/>
  <c r="S85" i="4"/>
  <c r="N85" i="9"/>
  <c r="R85" i="4"/>
  <c r="M85" i="9"/>
  <c r="Q85" i="4"/>
  <c r="L85" i="9"/>
  <c r="P85" i="4"/>
  <c r="K85" i="9"/>
  <c r="O85" i="4"/>
  <c r="J85" i="9"/>
  <c r="D84" i="4"/>
  <c r="D84" i="9"/>
  <c r="C83" i="4"/>
  <c r="C83" i="9"/>
  <c r="B82" i="4"/>
  <c r="B82" i="9"/>
  <c r="Y86" i="7"/>
  <c r="W86" i="9"/>
  <c r="T86" i="4"/>
  <c r="O86" i="9"/>
  <c r="P86" i="4"/>
  <c r="K86" i="9"/>
  <c r="E86" i="3"/>
  <c r="AE74" i="4"/>
  <c r="X74" i="9"/>
  <c r="U74" i="4"/>
  <c r="Q74" i="9"/>
  <c r="P74" i="9"/>
  <c r="Q74" i="4"/>
  <c r="L74" i="9"/>
  <c r="O74" i="4"/>
  <c r="J74" i="9"/>
  <c r="AE75" i="4"/>
  <c r="X75" i="9"/>
  <c r="P75" i="9"/>
  <c r="Q75" i="9"/>
  <c r="Q75" i="4"/>
  <c r="L75" i="9"/>
  <c r="O75" i="4"/>
  <c r="J75" i="9"/>
  <c r="A75" i="4"/>
  <c r="A75" i="9"/>
  <c r="D72" i="7"/>
  <c r="F72" i="4"/>
  <c r="D75" i="7"/>
  <c r="F75" i="4"/>
  <c r="P77" i="9"/>
  <c r="Q77" i="9"/>
  <c r="T77" i="4"/>
  <c r="O77" i="9"/>
  <c r="S77" i="4"/>
  <c r="N77" i="9"/>
  <c r="R77" i="4"/>
  <c r="M77" i="9"/>
  <c r="Q77" i="4"/>
  <c r="L77" i="9"/>
  <c r="P77" i="4"/>
  <c r="K77" i="9"/>
  <c r="O77" i="4"/>
  <c r="J77" i="9"/>
  <c r="D79" i="4"/>
  <c r="D79" i="9"/>
  <c r="C85" i="4"/>
  <c r="C85" i="9"/>
  <c r="C76" i="4"/>
  <c r="C76" i="9"/>
  <c r="B77" i="4"/>
  <c r="B77" i="9"/>
  <c r="A78" i="4"/>
  <c r="A78" i="9"/>
  <c r="D82" i="7"/>
  <c r="F82" i="4"/>
  <c r="AE79" i="4"/>
  <c r="X79" i="9"/>
  <c r="AE78" i="4"/>
  <c r="X78" i="9"/>
  <c r="AE77" i="4"/>
  <c r="X77" i="9"/>
  <c r="AE76" i="4"/>
  <c r="X76" i="9"/>
  <c r="AE81" i="4"/>
  <c r="X81" i="9"/>
  <c r="D86" i="7"/>
  <c r="F86" i="4"/>
  <c r="S86" i="3"/>
  <c r="T86" i="3" s="1"/>
  <c r="S86" i="4"/>
  <c r="T86" i="7"/>
  <c r="W84" i="7"/>
  <c r="W83" i="7"/>
  <c r="Z86" i="3"/>
  <c r="AD84" i="4"/>
  <c r="AD85" i="4"/>
  <c r="Q85" i="7"/>
  <c r="W83" i="3"/>
  <c r="W84" i="3"/>
  <c r="U84" i="7" s="1"/>
  <c r="W85" i="3"/>
  <c r="U85" i="7" s="1"/>
  <c r="B85" i="4"/>
  <c r="E83" i="3"/>
  <c r="T85" i="7"/>
  <c r="E82" i="3"/>
  <c r="AB85" i="4"/>
  <c r="W85" i="4"/>
  <c r="W85" i="7"/>
  <c r="AB84" i="4"/>
  <c r="AB83" i="4"/>
  <c r="W82" i="7"/>
  <c r="AB82" i="4"/>
  <c r="W82" i="3"/>
  <c r="U82" i="7" s="1"/>
  <c r="Y81" i="7"/>
  <c r="W81" i="3"/>
  <c r="E81" i="3"/>
  <c r="S81" i="3"/>
  <c r="T81" i="3" s="1"/>
  <c r="S80" i="3"/>
  <c r="T80" i="3" s="1"/>
  <c r="Y80" i="7"/>
  <c r="U80" i="4"/>
  <c r="S80" i="4"/>
  <c r="B80" i="4"/>
  <c r="AB80" i="4"/>
  <c r="Z81" i="3"/>
  <c r="W80" i="7"/>
  <c r="W79" i="3"/>
  <c r="U79" i="7" s="1"/>
  <c r="W78" i="3"/>
  <c r="U78" i="7" s="1"/>
  <c r="W77" i="3"/>
  <c r="U77" i="7" s="1"/>
  <c r="W76" i="3"/>
  <c r="U76" i="7" s="1"/>
  <c r="W78" i="7"/>
  <c r="W77" i="7"/>
  <c r="AB77" i="4"/>
  <c r="X79" i="7"/>
  <c r="X78" i="7"/>
  <c r="X76" i="7"/>
  <c r="W79" i="7"/>
  <c r="W76" i="7"/>
  <c r="U80" i="7"/>
  <c r="Q80" i="7"/>
  <c r="E77" i="3"/>
  <c r="Q83" i="7"/>
  <c r="U81" i="7"/>
  <c r="Q79" i="7"/>
  <c r="Y78" i="7"/>
  <c r="R82" i="7"/>
  <c r="S78" i="3"/>
  <c r="T78" i="3" s="1"/>
  <c r="U77" i="4"/>
  <c r="Q81" i="7"/>
  <c r="T81" i="7"/>
  <c r="U83" i="7"/>
  <c r="B79" i="4"/>
  <c r="Y82" i="7"/>
  <c r="T83" i="7"/>
  <c r="AD76" i="4"/>
  <c r="S76" i="3"/>
  <c r="T76" i="3" s="1"/>
  <c r="S76" i="9" s="1"/>
  <c r="S79" i="3"/>
  <c r="T79" i="3" s="1"/>
  <c r="S79" i="9" s="1"/>
  <c r="AD79" i="4"/>
  <c r="U76" i="4"/>
  <c r="B78" i="4"/>
  <c r="Y77" i="7"/>
  <c r="Q82" i="7"/>
  <c r="E76" i="3"/>
  <c r="U79" i="4"/>
  <c r="Q84" i="7"/>
  <c r="T84" i="7"/>
  <c r="T80" i="7"/>
  <c r="T76" i="7"/>
  <c r="S77" i="3"/>
  <c r="T77" i="3" s="1"/>
  <c r="S77" i="9" s="1"/>
  <c r="U78" i="4"/>
  <c r="Q72" i="7"/>
  <c r="Q74" i="7"/>
  <c r="W75" i="3"/>
  <c r="U75" i="7" s="1"/>
  <c r="T75" i="7"/>
  <c r="Z75" i="3"/>
  <c r="Z74" i="3"/>
  <c r="AD75" i="4"/>
  <c r="U75" i="4"/>
  <c r="E75" i="3"/>
  <c r="AD74" i="4"/>
  <c r="W74" i="3"/>
  <c r="U74" i="7" s="1"/>
  <c r="S75" i="3"/>
  <c r="T75" i="3" s="1"/>
  <c r="Q73" i="7"/>
  <c r="Q75" i="7"/>
  <c r="S75" i="4"/>
  <c r="S74" i="3"/>
  <c r="T74" i="3" s="1"/>
  <c r="S74" i="9" s="1"/>
  <c r="V86" i="9" l="1"/>
  <c r="AC86" i="4"/>
  <c r="AC81" i="4"/>
  <c r="V81" i="9"/>
  <c r="AC75" i="4"/>
  <c r="V75" i="9"/>
  <c r="X74" i="7"/>
  <c r="V74" i="9"/>
  <c r="AC74" i="4"/>
  <c r="R75" i="7"/>
  <c r="S75" i="9"/>
  <c r="W81" i="4"/>
  <c r="S81" i="9"/>
  <c r="R78" i="7"/>
  <c r="S78" i="9"/>
  <c r="W80" i="4"/>
  <c r="S80" i="9"/>
  <c r="R86" i="7"/>
  <c r="S86" i="9"/>
  <c r="W86" i="4"/>
  <c r="X86" i="7"/>
  <c r="AB86" i="4"/>
  <c r="AB81" i="4"/>
  <c r="X81" i="7"/>
  <c r="W78" i="4"/>
  <c r="R83" i="7"/>
  <c r="W77" i="4"/>
  <c r="R77" i="7"/>
  <c r="R80" i="7"/>
  <c r="W76" i="4"/>
  <c r="R76" i="7"/>
  <c r="R81" i="7"/>
  <c r="R84" i="7"/>
  <c r="R79" i="7"/>
  <c r="W79" i="4"/>
  <c r="AB75" i="4"/>
  <c r="X75" i="7"/>
  <c r="AB74" i="4"/>
  <c r="W75" i="4"/>
  <c r="R74" i="7"/>
  <c r="W74" i="4"/>
  <c r="E72" i="4" l="1"/>
  <c r="E73" i="4"/>
  <c r="G72" i="4"/>
  <c r="G73" i="4"/>
  <c r="I72" i="4"/>
  <c r="I73" i="4"/>
  <c r="K72" i="4"/>
  <c r="K73" i="4"/>
  <c r="M72" i="4"/>
  <c r="M73" i="4"/>
  <c r="V72" i="4"/>
  <c r="V73" i="4"/>
  <c r="X72" i="4"/>
  <c r="X73" i="4"/>
  <c r="AA72" i="4"/>
  <c r="AA73" i="4"/>
  <c r="A73" i="3"/>
  <c r="A74" i="3"/>
  <c r="B73" i="3"/>
  <c r="B74" i="3"/>
  <c r="B74" i="9" s="1"/>
  <c r="C73" i="3"/>
  <c r="C74" i="3"/>
  <c r="D73" i="3"/>
  <c r="D74" i="3"/>
  <c r="F73" i="3"/>
  <c r="F74" i="3"/>
  <c r="G73" i="3"/>
  <c r="H73" i="3"/>
  <c r="I73" i="3"/>
  <c r="J73" i="3"/>
  <c r="K73" i="3"/>
  <c r="L73" i="3"/>
  <c r="M73" i="3"/>
  <c r="N73" i="3"/>
  <c r="O73" i="3"/>
  <c r="P73" i="3"/>
  <c r="Q73" i="3"/>
  <c r="R73" i="3"/>
  <c r="V72" i="3"/>
  <c r="T72" i="7" s="1"/>
  <c r="V73" i="3"/>
  <c r="T73" i="7" s="1"/>
  <c r="Y72" i="3"/>
  <c r="Y73" i="3"/>
  <c r="AA72" i="3"/>
  <c r="W72" i="9" s="1"/>
  <c r="AA73" i="3"/>
  <c r="W73" i="9" s="1"/>
  <c r="AB73" i="3"/>
  <c r="J19" i="8"/>
  <c r="J18" i="8"/>
  <c r="J17" i="8"/>
  <c r="J16" i="8"/>
  <c r="O15" i="8"/>
  <c r="J15" i="8"/>
  <c r="O14" i="8"/>
  <c r="J14" i="8"/>
  <c r="O13" i="8"/>
  <c r="J13" i="8"/>
  <c r="E13" i="8"/>
  <c r="O12" i="8"/>
  <c r="J12" i="8"/>
  <c r="E12" i="8"/>
  <c r="O11" i="8"/>
  <c r="J11" i="8"/>
  <c r="E11" i="8"/>
  <c r="O10" i="8"/>
  <c r="J10" i="8"/>
  <c r="E10" i="8"/>
  <c r="O9" i="8"/>
  <c r="J9" i="8"/>
  <c r="E9" i="8"/>
  <c r="O8" i="8"/>
  <c r="J8" i="8"/>
  <c r="E8" i="8"/>
  <c r="O7" i="8"/>
  <c r="J7" i="8"/>
  <c r="E7" i="8"/>
  <c r="O6" i="8"/>
  <c r="J6" i="8"/>
  <c r="E6" i="8"/>
  <c r="O5" i="8"/>
  <c r="J5" i="8"/>
  <c r="E5" i="8"/>
  <c r="O4" i="8"/>
  <c r="J4" i="8"/>
  <c r="E4" i="8"/>
  <c r="S73" i="4" l="1"/>
  <c r="N73" i="9"/>
  <c r="D74" i="4"/>
  <c r="D74" i="9"/>
  <c r="R73" i="4"/>
  <c r="M73" i="9"/>
  <c r="D73" i="4"/>
  <c r="D73" i="9"/>
  <c r="B73" i="4"/>
  <c r="B73" i="9"/>
  <c r="U73" i="4"/>
  <c r="Q73" i="9"/>
  <c r="P73" i="9"/>
  <c r="Q73" i="4"/>
  <c r="L73" i="9"/>
  <c r="O73" i="4"/>
  <c r="J73" i="9"/>
  <c r="C74" i="4"/>
  <c r="C74" i="9"/>
  <c r="A74" i="4"/>
  <c r="A74" i="9"/>
  <c r="AE73" i="4"/>
  <c r="X73" i="9"/>
  <c r="T73" i="4"/>
  <c r="O73" i="9"/>
  <c r="P73" i="4"/>
  <c r="K73" i="9"/>
  <c r="C73" i="4"/>
  <c r="C73" i="9"/>
  <c r="A73" i="4"/>
  <c r="A73" i="9"/>
  <c r="Z73" i="3"/>
  <c r="W73" i="7"/>
  <c r="Z72" i="3"/>
  <c r="W72" i="7"/>
  <c r="AD73" i="4"/>
  <c r="Y73" i="7"/>
  <c r="AD72" i="4"/>
  <c r="Y72" i="7"/>
  <c r="E74" i="3"/>
  <c r="B74" i="4"/>
  <c r="W73" i="3"/>
  <c r="U73" i="7" s="1"/>
  <c r="S73" i="3"/>
  <c r="T73" i="3" s="1"/>
  <c r="S73" i="9" s="1"/>
  <c r="E73" i="3"/>
  <c r="V71" i="7"/>
  <c r="V70" i="7"/>
  <c r="V69" i="7"/>
  <c r="S71" i="7"/>
  <c r="S70" i="7"/>
  <c r="S69" i="7"/>
  <c r="A70" i="7"/>
  <c r="A71" i="7"/>
  <c r="B70" i="7"/>
  <c r="B71" i="7"/>
  <c r="C70" i="7"/>
  <c r="C71" i="7"/>
  <c r="E70" i="7"/>
  <c r="E71" i="7"/>
  <c r="F70" i="7"/>
  <c r="F71" i="7"/>
  <c r="G70" i="7"/>
  <c r="G71" i="7"/>
  <c r="H70" i="7"/>
  <c r="H71" i="7"/>
  <c r="I70" i="7"/>
  <c r="I71" i="7"/>
  <c r="J70" i="7"/>
  <c r="J71" i="7"/>
  <c r="K70" i="7"/>
  <c r="K71" i="7"/>
  <c r="L70" i="7"/>
  <c r="L71" i="7"/>
  <c r="M70" i="7"/>
  <c r="M71" i="7"/>
  <c r="N70" i="7"/>
  <c r="N71" i="7"/>
  <c r="O70" i="7"/>
  <c r="O71" i="7"/>
  <c r="P70" i="7"/>
  <c r="P71" i="7"/>
  <c r="Z70" i="7"/>
  <c r="Z71" i="7"/>
  <c r="E71" i="4"/>
  <c r="G71" i="4"/>
  <c r="I71" i="4"/>
  <c r="K71" i="4"/>
  <c r="M71" i="4"/>
  <c r="V71" i="4"/>
  <c r="X71" i="4"/>
  <c r="AA71" i="4"/>
  <c r="E70" i="4"/>
  <c r="G70" i="4"/>
  <c r="I70" i="4"/>
  <c r="K70" i="4"/>
  <c r="M70" i="4"/>
  <c r="V70" i="4"/>
  <c r="X70" i="4"/>
  <c r="AA70" i="4"/>
  <c r="A71" i="3"/>
  <c r="A72" i="3"/>
  <c r="B71" i="3"/>
  <c r="B72" i="3"/>
  <c r="C71" i="3"/>
  <c r="C72" i="3"/>
  <c r="D71" i="3"/>
  <c r="D72" i="3"/>
  <c r="F71" i="3"/>
  <c r="F72" i="3"/>
  <c r="G71" i="3"/>
  <c r="G72" i="3"/>
  <c r="H71" i="3"/>
  <c r="H72" i="3"/>
  <c r="I71" i="3"/>
  <c r="I72" i="3"/>
  <c r="J71" i="3"/>
  <c r="J72" i="3"/>
  <c r="K71" i="3"/>
  <c r="K72" i="3"/>
  <c r="L71" i="3"/>
  <c r="L72" i="3"/>
  <c r="M71" i="3"/>
  <c r="M72" i="3"/>
  <c r="N71" i="3"/>
  <c r="N72" i="3"/>
  <c r="O71" i="3"/>
  <c r="O72" i="3"/>
  <c r="P71" i="3"/>
  <c r="N71" i="9" s="1"/>
  <c r="P72" i="3"/>
  <c r="Q71" i="3"/>
  <c r="Q72" i="3"/>
  <c r="O72" i="9" s="1"/>
  <c r="R71" i="3"/>
  <c r="R72" i="3"/>
  <c r="V71" i="3"/>
  <c r="Y71" i="3"/>
  <c r="Z71" i="3" s="1"/>
  <c r="AA71" i="3"/>
  <c r="AB71" i="3"/>
  <c r="AB72" i="3"/>
  <c r="A70" i="3"/>
  <c r="B70" i="3"/>
  <c r="C70" i="3"/>
  <c r="D70" i="3"/>
  <c r="F70" i="3"/>
  <c r="G70" i="3"/>
  <c r="H70" i="3"/>
  <c r="I70" i="3"/>
  <c r="J70" i="3"/>
  <c r="K70" i="3"/>
  <c r="L70" i="3"/>
  <c r="M70" i="3"/>
  <c r="N70" i="3"/>
  <c r="O70" i="3"/>
  <c r="P70" i="3"/>
  <c r="N70" i="9" s="1"/>
  <c r="Q70" i="3"/>
  <c r="R70" i="3"/>
  <c r="V70" i="3"/>
  <c r="Y70" i="3"/>
  <c r="Z70" i="3" s="1"/>
  <c r="AA70" i="3"/>
  <c r="AB70" i="3"/>
  <c r="X73" i="7" l="1"/>
  <c r="AC73" i="4"/>
  <c r="V73" i="9"/>
  <c r="X72" i="7"/>
  <c r="V72" i="9"/>
  <c r="AC72" i="4"/>
  <c r="AB71" i="4"/>
  <c r="AC71" i="4"/>
  <c r="V71" i="9"/>
  <c r="V70" i="9"/>
  <c r="AC70" i="4"/>
  <c r="Y71" i="7"/>
  <c r="W71" i="9"/>
  <c r="U71" i="4"/>
  <c r="Q71" i="9"/>
  <c r="P71" i="9"/>
  <c r="AE70" i="4"/>
  <c r="X70" i="9"/>
  <c r="O70" i="4"/>
  <c r="J70" i="9"/>
  <c r="A70" i="4"/>
  <c r="A70" i="9"/>
  <c r="P72" i="4"/>
  <c r="K72" i="9"/>
  <c r="P70" i="4"/>
  <c r="K70" i="9"/>
  <c r="D70" i="4"/>
  <c r="D70" i="9"/>
  <c r="T71" i="4"/>
  <c r="O71" i="9"/>
  <c r="R71" i="4"/>
  <c r="M71" i="9"/>
  <c r="R70" i="4"/>
  <c r="M70" i="9"/>
  <c r="B70" i="4"/>
  <c r="B70" i="9"/>
  <c r="Q71" i="4"/>
  <c r="L71" i="9"/>
  <c r="O71" i="4"/>
  <c r="J71" i="9"/>
  <c r="C71" i="4"/>
  <c r="C71" i="9"/>
  <c r="A71" i="4"/>
  <c r="A71" i="9"/>
  <c r="D70" i="7"/>
  <c r="F70" i="4"/>
  <c r="P70" i="9"/>
  <c r="Q70" i="9"/>
  <c r="Q70" i="4"/>
  <c r="L70" i="9"/>
  <c r="R72" i="4"/>
  <c r="M72" i="9"/>
  <c r="D72" i="4"/>
  <c r="D72" i="9"/>
  <c r="B72" i="4"/>
  <c r="B72" i="9"/>
  <c r="Y70" i="7"/>
  <c r="W70" i="9"/>
  <c r="T70" i="4"/>
  <c r="O70" i="9"/>
  <c r="AE72" i="4"/>
  <c r="X72" i="9"/>
  <c r="P71" i="4"/>
  <c r="K71" i="9"/>
  <c r="D71" i="4"/>
  <c r="D71" i="9"/>
  <c r="B71" i="4"/>
  <c r="B71" i="9"/>
  <c r="C70" i="4"/>
  <c r="C70" i="9"/>
  <c r="AE71" i="4"/>
  <c r="X71" i="9"/>
  <c r="P72" i="9"/>
  <c r="Q72" i="9"/>
  <c r="S72" i="4"/>
  <c r="N72" i="9"/>
  <c r="Q72" i="4"/>
  <c r="L72" i="9"/>
  <c r="O72" i="4"/>
  <c r="J72" i="9"/>
  <c r="C72" i="4"/>
  <c r="C72" i="9"/>
  <c r="A72" i="4"/>
  <c r="A72" i="9"/>
  <c r="D71" i="7"/>
  <c r="F71" i="4"/>
  <c r="AB73" i="4"/>
  <c r="AB72" i="4"/>
  <c r="W73" i="4"/>
  <c r="R73" i="7"/>
  <c r="W72" i="3"/>
  <c r="U72" i="7" s="1"/>
  <c r="U72" i="4"/>
  <c r="S72" i="3"/>
  <c r="T72" i="3" s="1"/>
  <c r="S72" i="9" s="1"/>
  <c r="T72" i="4"/>
  <c r="E72" i="3"/>
  <c r="W71" i="7"/>
  <c r="W70" i="7"/>
  <c r="X71" i="7"/>
  <c r="AB70" i="4"/>
  <c r="X70" i="7"/>
  <c r="U70" i="4"/>
  <c r="W70" i="3"/>
  <c r="U70" i="7" s="1"/>
  <c r="Q70" i="7"/>
  <c r="E70" i="3"/>
  <c r="AD70" i="4"/>
  <c r="S71" i="3"/>
  <c r="T71" i="3" s="1"/>
  <c r="AD71" i="4"/>
  <c r="T70" i="7"/>
  <c r="S71" i="4"/>
  <c r="E71" i="3"/>
  <c r="Q71" i="7"/>
  <c r="S70" i="3"/>
  <c r="T70" i="3" s="1"/>
  <c r="S70" i="9" s="1"/>
  <c r="W71" i="3"/>
  <c r="U71" i="7" s="1"/>
  <c r="S70" i="4"/>
  <c r="T71" i="7"/>
  <c r="A69" i="7"/>
  <c r="B69" i="7"/>
  <c r="C69" i="7"/>
  <c r="E69" i="7"/>
  <c r="F69" i="7"/>
  <c r="G69" i="7"/>
  <c r="H69" i="7"/>
  <c r="I69" i="7"/>
  <c r="J69" i="7"/>
  <c r="K69" i="7"/>
  <c r="L69" i="7"/>
  <c r="M69" i="7"/>
  <c r="N69" i="7"/>
  <c r="O69" i="7"/>
  <c r="P69" i="7"/>
  <c r="Z69" i="7"/>
  <c r="E69" i="4"/>
  <c r="G69" i="4"/>
  <c r="I69" i="4"/>
  <c r="K69" i="4"/>
  <c r="M69" i="4"/>
  <c r="V69" i="4"/>
  <c r="X69" i="4"/>
  <c r="AA69" i="4"/>
  <c r="A69" i="3"/>
  <c r="B69" i="3"/>
  <c r="C69" i="3"/>
  <c r="D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V69" i="3"/>
  <c r="Y69" i="3"/>
  <c r="Z69" i="3" s="1"/>
  <c r="AA69" i="3"/>
  <c r="AB69" i="3"/>
  <c r="C57" i="7"/>
  <c r="C56" i="7"/>
  <c r="V68" i="7"/>
  <c r="S68" i="7"/>
  <c r="X69" i="7" l="1"/>
  <c r="AC69" i="4"/>
  <c r="V69" i="9"/>
  <c r="U69" i="4"/>
  <c r="Q69" i="9"/>
  <c r="P69" i="9"/>
  <c r="D69" i="7"/>
  <c r="F69" i="4"/>
  <c r="AD69" i="4"/>
  <c r="W69" i="9"/>
  <c r="T69" i="4"/>
  <c r="O69" i="9"/>
  <c r="D69" i="4"/>
  <c r="D69" i="9"/>
  <c r="AE69" i="4"/>
  <c r="X69" i="9"/>
  <c r="Q69" i="4"/>
  <c r="L69" i="9"/>
  <c r="O69" i="4"/>
  <c r="J69" i="9"/>
  <c r="A69" i="4"/>
  <c r="A69" i="9"/>
  <c r="P69" i="4"/>
  <c r="K69" i="9"/>
  <c r="S69" i="4"/>
  <c r="N69" i="9"/>
  <c r="C69" i="4"/>
  <c r="C69" i="9"/>
  <c r="R69" i="4"/>
  <c r="M69" i="9"/>
  <c r="E69" i="3"/>
  <c r="B69" i="9"/>
  <c r="W71" i="4"/>
  <c r="S71" i="9"/>
  <c r="W72" i="4"/>
  <c r="R72" i="7"/>
  <c r="R71" i="7"/>
  <c r="W69" i="3"/>
  <c r="U69" i="7" s="1"/>
  <c r="W70" i="4"/>
  <c r="R70" i="7"/>
  <c r="AB69" i="4"/>
  <c r="Q69" i="7"/>
  <c r="Y69" i="7"/>
  <c r="B69" i="4"/>
  <c r="W69" i="7"/>
  <c r="T69" i="7"/>
  <c r="S69" i="3"/>
  <c r="T69" i="3" s="1"/>
  <c r="S69" i="9" s="1"/>
  <c r="L68" i="7"/>
  <c r="Z68" i="7"/>
  <c r="E68" i="4"/>
  <c r="G68" i="4"/>
  <c r="I68" i="4"/>
  <c r="K68" i="4"/>
  <c r="M68" i="4"/>
  <c r="V68" i="4"/>
  <c r="X68" i="4"/>
  <c r="AA68" i="4"/>
  <c r="A68" i="3"/>
  <c r="B68" i="3"/>
  <c r="C68" i="3"/>
  <c r="D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V68" i="3"/>
  <c r="T68" i="7" s="1"/>
  <c r="Y68" i="3"/>
  <c r="Z68" i="3" s="1"/>
  <c r="AA68" i="3"/>
  <c r="AB68" i="3"/>
  <c r="Z3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M37" i="4"/>
  <c r="V68" i="9" l="1"/>
  <c r="AC68" i="4"/>
  <c r="AE65" i="4"/>
  <c r="X65" i="9"/>
  <c r="AE57" i="4"/>
  <c r="X57" i="9"/>
  <c r="AE49" i="4"/>
  <c r="X49" i="9"/>
  <c r="AE41" i="4"/>
  <c r="X41" i="9"/>
  <c r="AE33" i="4"/>
  <c r="X33" i="9"/>
  <c r="AE25" i="4"/>
  <c r="X25" i="9"/>
  <c r="AE17" i="4"/>
  <c r="X17" i="9"/>
  <c r="AE9" i="4"/>
  <c r="X9" i="9"/>
  <c r="U68" i="4"/>
  <c r="Q68" i="9"/>
  <c r="P68" i="9"/>
  <c r="Q68" i="4"/>
  <c r="L68" i="9"/>
  <c r="A68" i="4"/>
  <c r="A68" i="9"/>
  <c r="AE60" i="4"/>
  <c r="X60" i="9"/>
  <c r="AE52" i="4"/>
  <c r="X52" i="9"/>
  <c r="AE40" i="4"/>
  <c r="X40" i="9"/>
  <c r="AE32" i="4"/>
  <c r="X32" i="9"/>
  <c r="AE20" i="4"/>
  <c r="X20" i="9"/>
  <c r="AE12" i="4"/>
  <c r="X12" i="9"/>
  <c r="AE8" i="4"/>
  <c r="X8" i="9"/>
  <c r="Y68" i="7"/>
  <c r="W68" i="9"/>
  <c r="T68" i="4"/>
  <c r="O68" i="9"/>
  <c r="D68" i="4"/>
  <c r="D68" i="9"/>
  <c r="AE67" i="4"/>
  <c r="X67" i="9"/>
  <c r="AE63" i="4"/>
  <c r="X63" i="9"/>
  <c r="AE59" i="4"/>
  <c r="X59" i="9"/>
  <c r="AE55" i="4"/>
  <c r="X55" i="9"/>
  <c r="AE51" i="4"/>
  <c r="X51" i="9"/>
  <c r="AE47" i="4"/>
  <c r="X47" i="9"/>
  <c r="AE43" i="4"/>
  <c r="X43" i="9"/>
  <c r="AE39" i="4"/>
  <c r="X39" i="9"/>
  <c r="AE35" i="4"/>
  <c r="X35" i="9"/>
  <c r="AE31" i="4"/>
  <c r="X31" i="9"/>
  <c r="AE27" i="4"/>
  <c r="X27" i="9"/>
  <c r="AE23" i="4"/>
  <c r="X23" i="9"/>
  <c r="AE19" i="4"/>
  <c r="X19" i="9"/>
  <c r="AE15" i="4"/>
  <c r="X15" i="9"/>
  <c r="AE11" i="4"/>
  <c r="X11" i="9"/>
  <c r="AE7" i="4"/>
  <c r="X7" i="9"/>
  <c r="AE3" i="4"/>
  <c r="X3" i="9"/>
  <c r="S68" i="4"/>
  <c r="N68" i="9"/>
  <c r="C68" i="4"/>
  <c r="C68" i="9"/>
  <c r="AE61" i="4"/>
  <c r="X61" i="9"/>
  <c r="AE53" i="4"/>
  <c r="X53" i="9"/>
  <c r="AE45" i="4"/>
  <c r="X45" i="9"/>
  <c r="AE37" i="4"/>
  <c r="X37" i="9"/>
  <c r="AE29" i="4"/>
  <c r="X29" i="9"/>
  <c r="AE21" i="4"/>
  <c r="X21" i="9"/>
  <c r="AE13" i="4"/>
  <c r="X13" i="9"/>
  <c r="AE5" i="4"/>
  <c r="X5" i="9"/>
  <c r="AE68" i="4"/>
  <c r="X68" i="9"/>
  <c r="O68" i="4"/>
  <c r="J68" i="9"/>
  <c r="AE64" i="4"/>
  <c r="X64" i="9"/>
  <c r="AE56" i="4"/>
  <c r="X56" i="9"/>
  <c r="AE48" i="4"/>
  <c r="X48" i="9"/>
  <c r="AE44" i="4"/>
  <c r="X44" i="9"/>
  <c r="AE36" i="4"/>
  <c r="X36" i="9"/>
  <c r="AE28" i="4"/>
  <c r="X28" i="9"/>
  <c r="AE24" i="4"/>
  <c r="X24" i="9"/>
  <c r="AE16" i="4"/>
  <c r="X16" i="9"/>
  <c r="AE4" i="4"/>
  <c r="X4" i="9"/>
  <c r="P68" i="4"/>
  <c r="K68" i="9"/>
  <c r="AE66" i="4"/>
  <c r="X66" i="9"/>
  <c r="AE62" i="4"/>
  <c r="X62" i="9"/>
  <c r="AE58" i="4"/>
  <c r="X58" i="9"/>
  <c r="AE54" i="4"/>
  <c r="X54" i="9"/>
  <c r="AE50" i="4"/>
  <c r="X50" i="9"/>
  <c r="AE46" i="4"/>
  <c r="X46" i="9"/>
  <c r="AE42" i="4"/>
  <c r="X42" i="9"/>
  <c r="AE38" i="4"/>
  <c r="X38" i="9"/>
  <c r="AE34" i="4"/>
  <c r="X34" i="9"/>
  <c r="AE30" i="4"/>
  <c r="X30" i="9"/>
  <c r="AE26" i="4"/>
  <c r="X26" i="9"/>
  <c r="AE22" i="4"/>
  <c r="X22" i="9"/>
  <c r="AE18" i="4"/>
  <c r="X18" i="9"/>
  <c r="AE14" i="4"/>
  <c r="X14" i="9"/>
  <c r="AE10" i="4"/>
  <c r="X10" i="9"/>
  <c r="AE6" i="4"/>
  <c r="X6" i="9"/>
  <c r="R68" i="4"/>
  <c r="M68" i="9"/>
  <c r="E68" i="3"/>
  <c r="B68" i="9"/>
  <c r="W69" i="4"/>
  <c r="R69" i="7"/>
  <c r="W68" i="3"/>
  <c r="U68" i="7" s="1"/>
  <c r="S68" i="3"/>
  <c r="T68" i="3" s="1"/>
  <c r="AD68" i="4"/>
  <c r="AB68" i="4"/>
  <c r="X68" i="7"/>
  <c r="W68" i="7"/>
  <c r="B68" i="4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3" i="7"/>
  <c r="V59" i="7"/>
  <c r="S59" i="7"/>
  <c r="P68" i="7"/>
  <c r="O68" i="7"/>
  <c r="N68" i="7"/>
  <c r="M68" i="7"/>
  <c r="V67" i="7"/>
  <c r="S67" i="7"/>
  <c r="P67" i="7"/>
  <c r="O67" i="7"/>
  <c r="N67" i="7"/>
  <c r="M67" i="7"/>
  <c r="V66" i="7"/>
  <c r="S66" i="7"/>
  <c r="P66" i="7"/>
  <c r="O66" i="7"/>
  <c r="N66" i="7"/>
  <c r="M66" i="7"/>
  <c r="V65" i="7"/>
  <c r="S65" i="7"/>
  <c r="P65" i="7"/>
  <c r="O65" i="7"/>
  <c r="N65" i="7"/>
  <c r="M65" i="7"/>
  <c r="V64" i="7"/>
  <c r="S64" i="7"/>
  <c r="P64" i="7"/>
  <c r="O64" i="7"/>
  <c r="N64" i="7"/>
  <c r="M64" i="7"/>
  <c r="V63" i="7"/>
  <c r="S63" i="7"/>
  <c r="P63" i="7"/>
  <c r="O63" i="7"/>
  <c r="N63" i="7"/>
  <c r="M63" i="7"/>
  <c r="V62" i="7"/>
  <c r="S62" i="7"/>
  <c r="P62" i="7"/>
  <c r="O62" i="7"/>
  <c r="N62" i="7"/>
  <c r="M62" i="7"/>
  <c r="V61" i="7"/>
  <c r="S61" i="7"/>
  <c r="P61" i="7"/>
  <c r="O61" i="7"/>
  <c r="N61" i="7"/>
  <c r="M61" i="7"/>
  <c r="V60" i="7"/>
  <c r="S60" i="7"/>
  <c r="P60" i="7"/>
  <c r="O60" i="7"/>
  <c r="N60" i="7"/>
  <c r="M60" i="7"/>
  <c r="G64" i="4"/>
  <c r="G65" i="4"/>
  <c r="G66" i="4"/>
  <c r="G67" i="4"/>
  <c r="I64" i="4"/>
  <c r="I65" i="4"/>
  <c r="I66" i="4"/>
  <c r="I67" i="4"/>
  <c r="K64" i="4"/>
  <c r="K65" i="4"/>
  <c r="K66" i="4"/>
  <c r="K67" i="4"/>
  <c r="M64" i="4"/>
  <c r="M65" i="4"/>
  <c r="M66" i="4"/>
  <c r="M67" i="4"/>
  <c r="V64" i="4"/>
  <c r="V65" i="4"/>
  <c r="V66" i="4"/>
  <c r="V67" i="4"/>
  <c r="X64" i="4"/>
  <c r="X65" i="4"/>
  <c r="X66" i="4"/>
  <c r="X67" i="4"/>
  <c r="AA64" i="4"/>
  <c r="A67" i="3"/>
  <c r="B67" i="3"/>
  <c r="C67" i="3"/>
  <c r="D67" i="3"/>
  <c r="F67" i="3"/>
  <c r="G67" i="3"/>
  <c r="H67" i="3"/>
  <c r="I67" i="3"/>
  <c r="J67" i="3"/>
  <c r="K67" i="3"/>
  <c r="L67" i="3"/>
  <c r="M67" i="3"/>
  <c r="N67" i="3"/>
  <c r="O67" i="3"/>
  <c r="P67" i="3"/>
  <c r="N67" i="9" s="1"/>
  <c r="Q67" i="3"/>
  <c r="R67" i="3"/>
  <c r="V67" i="3"/>
  <c r="Y67" i="3"/>
  <c r="W67" i="7" s="1"/>
  <c r="AA67" i="3"/>
  <c r="A61" i="7"/>
  <c r="A62" i="7"/>
  <c r="A63" i="7"/>
  <c r="A64" i="7"/>
  <c r="A65" i="7"/>
  <c r="A66" i="7"/>
  <c r="A67" i="7"/>
  <c r="A68" i="7"/>
  <c r="B61" i="7"/>
  <c r="B62" i="7"/>
  <c r="B63" i="7"/>
  <c r="B64" i="7"/>
  <c r="B65" i="7"/>
  <c r="B66" i="7"/>
  <c r="B67" i="7"/>
  <c r="B68" i="7"/>
  <c r="C61" i="7"/>
  <c r="C62" i="7"/>
  <c r="C63" i="7"/>
  <c r="C64" i="7"/>
  <c r="C65" i="7"/>
  <c r="C66" i="7"/>
  <c r="C67" i="7"/>
  <c r="C68" i="7"/>
  <c r="E61" i="7"/>
  <c r="E62" i="7"/>
  <c r="E63" i="7"/>
  <c r="E64" i="7"/>
  <c r="E65" i="7"/>
  <c r="E66" i="7"/>
  <c r="E67" i="7"/>
  <c r="E68" i="7"/>
  <c r="F61" i="7"/>
  <c r="F62" i="7"/>
  <c r="F63" i="7"/>
  <c r="F64" i="7"/>
  <c r="F65" i="7"/>
  <c r="F66" i="7"/>
  <c r="F67" i="7"/>
  <c r="F68" i="7"/>
  <c r="G61" i="7"/>
  <c r="G62" i="7"/>
  <c r="G63" i="7"/>
  <c r="G64" i="7"/>
  <c r="G65" i="7"/>
  <c r="G66" i="7"/>
  <c r="G67" i="7"/>
  <c r="G68" i="7"/>
  <c r="H61" i="7"/>
  <c r="H62" i="7"/>
  <c r="H63" i="7"/>
  <c r="H64" i="7"/>
  <c r="H65" i="7"/>
  <c r="H66" i="7"/>
  <c r="H67" i="7"/>
  <c r="H68" i="7"/>
  <c r="I61" i="7"/>
  <c r="I62" i="7"/>
  <c r="I63" i="7"/>
  <c r="I64" i="7"/>
  <c r="I65" i="7"/>
  <c r="I66" i="7"/>
  <c r="I67" i="7"/>
  <c r="I68" i="7"/>
  <c r="J61" i="7"/>
  <c r="J62" i="7"/>
  <c r="J63" i="7"/>
  <c r="J64" i="7"/>
  <c r="J65" i="7"/>
  <c r="J66" i="7"/>
  <c r="J67" i="7"/>
  <c r="J68" i="7"/>
  <c r="K61" i="7"/>
  <c r="K62" i="7"/>
  <c r="K63" i="7"/>
  <c r="K64" i="7"/>
  <c r="K65" i="7"/>
  <c r="K66" i="7"/>
  <c r="K67" i="7"/>
  <c r="K68" i="7"/>
  <c r="G59" i="4"/>
  <c r="G60" i="4"/>
  <c r="G61" i="4"/>
  <c r="G62" i="4"/>
  <c r="G63" i="4"/>
  <c r="I59" i="4"/>
  <c r="I60" i="4"/>
  <c r="I61" i="4"/>
  <c r="I62" i="4"/>
  <c r="I63" i="4"/>
  <c r="K59" i="4"/>
  <c r="K60" i="4"/>
  <c r="K61" i="4"/>
  <c r="K62" i="4"/>
  <c r="K63" i="4"/>
  <c r="M59" i="4"/>
  <c r="M60" i="4"/>
  <c r="M61" i="4"/>
  <c r="M62" i="4"/>
  <c r="M63" i="4"/>
  <c r="V59" i="4"/>
  <c r="V60" i="4"/>
  <c r="V61" i="4"/>
  <c r="V62" i="4"/>
  <c r="V63" i="4"/>
  <c r="X59" i="4"/>
  <c r="X60" i="4"/>
  <c r="X61" i="4"/>
  <c r="X62" i="4"/>
  <c r="X63" i="4"/>
  <c r="AA59" i="4"/>
  <c r="AA60" i="4"/>
  <c r="AA61" i="4"/>
  <c r="AA62" i="4"/>
  <c r="AA63" i="4"/>
  <c r="G52" i="4"/>
  <c r="G53" i="4"/>
  <c r="G54" i="4"/>
  <c r="G55" i="4"/>
  <c r="G56" i="4"/>
  <c r="G57" i="4"/>
  <c r="G58" i="4"/>
  <c r="I52" i="4"/>
  <c r="I53" i="4"/>
  <c r="I54" i="4"/>
  <c r="I55" i="4"/>
  <c r="I56" i="4"/>
  <c r="I57" i="4"/>
  <c r="I58" i="4"/>
  <c r="K52" i="4"/>
  <c r="K53" i="4"/>
  <c r="K54" i="4"/>
  <c r="K55" i="4"/>
  <c r="K56" i="4"/>
  <c r="K57" i="4"/>
  <c r="K58" i="4"/>
  <c r="M52" i="4"/>
  <c r="M53" i="4"/>
  <c r="M54" i="4"/>
  <c r="M55" i="4"/>
  <c r="M56" i="4"/>
  <c r="M57" i="4"/>
  <c r="M58" i="4"/>
  <c r="V52" i="4"/>
  <c r="V53" i="4"/>
  <c r="V54" i="4"/>
  <c r="V55" i="4"/>
  <c r="V56" i="4"/>
  <c r="V57" i="4"/>
  <c r="V58" i="4"/>
  <c r="X52" i="4"/>
  <c r="X53" i="4"/>
  <c r="X54" i="4"/>
  <c r="X55" i="4"/>
  <c r="X56" i="4"/>
  <c r="X57" i="4"/>
  <c r="X58" i="4"/>
  <c r="AA52" i="4"/>
  <c r="AA53" i="4"/>
  <c r="AA54" i="4"/>
  <c r="AA55" i="4"/>
  <c r="AA56" i="4"/>
  <c r="AA57" i="4"/>
  <c r="AA58" i="4"/>
  <c r="A62" i="3"/>
  <c r="A63" i="3"/>
  <c r="A64" i="3"/>
  <c r="A65" i="3"/>
  <c r="A66" i="3"/>
  <c r="B62" i="3"/>
  <c r="B63" i="3"/>
  <c r="B64" i="3"/>
  <c r="B65" i="3"/>
  <c r="E66" i="3"/>
  <c r="C62" i="3"/>
  <c r="C63" i="3"/>
  <c r="C64" i="3"/>
  <c r="C65" i="3"/>
  <c r="C66" i="3"/>
  <c r="D62" i="3"/>
  <c r="D63" i="3"/>
  <c r="D64" i="3"/>
  <c r="D65" i="3"/>
  <c r="D66" i="3"/>
  <c r="F62" i="3"/>
  <c r="F63" i="3"/>
  <c r="F64" i="3"/>
  <c r="F65" i="3"/>
  <c r="F66" i="3"/>
  <c r="G62" i="3"/>
  <c r="G63" i="3"/>
  <c r="G64" i="3"/>
  <c r="G65" i="3"/>
  <c r="G66" i="3"/>
  <c r="H62" i="3"/>
  <c r="H63" i="3"/>
  <c r="H64" i="3"/>
  <c r="H65" i="3"/>
  <c r="H66" i="3"/>
  <c r="I62" i="3"/>
  <c r="I63" i="3"/>
  <c r="I64" i="3"/>
  <c r="I65" i="3"/>
  <c r="I66" i="3"/>
  <c r="J62" i="3"/>
  <c r="J63" i="3"/>
  <c r="J64" i="3"/>
  <c r="J65" i="3"/>
  <c r="J66" i="3"/>
  <c r="K62" i="3"/>
  <c r="K63" i="3"/>
  <c r="K64" i="3"/>
  <c r="K65" i="3"/>
  <c r="K66" i="3"/>
  <c r="L62" i="3"/>
  <c r="L63" i="3"/>
  <c r="L64" i="3"/>
  <c r="L65" i="3"/>
  <c r="L66" i="3"/>
  <c r="M62" i="3"/>
  <c r="M63" i="3"/>
  <c r="M64" i="3"/>
  <c r="M65" i="3"/>
  <c r="M66" i="3"/>
  <c r="N62" i="3"/>
  <c r="N63" i="3"/>
  <c r="N64" i="3"/>
  <c r="N65" i="3"/>
  <c r="N66" i="3"/>
  <c r="O62" i="3"/>
  <c r="O63" i="3"/>
  <c r="O64" i="3"/>
  <c r="O65" i="3"/>
  <c r="O66" i="3"/>
  <c r="P62" i="3"/>
  <c r="P63" i="3"/>
  <c r="P64" i="3"/>
  <c r="P65" i="3"/>
  <c r="P66" i="3"/>
  <c r="Q62" i="3"/>
  <c r="Q63" i="3"/>
  <c r="Q64" i="3"/>
  <c r="Q65" i="3"/>
  <c r="Q66" i="3"/>
  <c r="R62" i="3"/>
  <c r="R63" i="3"/>
  <c r="R64" i="3"/>
  <c r="R65" i="3"/>
  <c r="R66" i="3"/>
  <c r="V62" i="3"/>
  <c r="V63" i="3"/>
  <c r="V64" i="3"/>
  <c r="V65" i="3"/>
  <c r="V66" i="3"/>
  <c r="Y62" i="3"/>
  <c r="W62" i="7" s="1"/>
  <c r="Y63" i="3"/>
  <c r="W63" i="7" s="1"/>
  <c r="Y64" i="3"/>
  <c r="Z64" i="3" s="1"/>
  <c r="Y65" i="3"/>
  <c r="Z65" i="3" s="1"/>
  <c r="Y66" i="3"/>
  <c r="W66" i="7" s="1"/>
  <c r="AA62" i="3"/>
  <c r="AA63" i="3"/>
  <c r="AA64" i="3"/>
  <c r="AA65" i="3"/>
  <c r="AA66" i="3"/>
  <c r="V58" i="7"/>
  <c r="S58" i="7"/>
  <c r="P58" i="7"/>
  <c r="O58" i="7"/>
  <c r="N58" i="7"/>
  <c r="M58" i="7"/>
  <c r="V57" i="7"/>
  <c r="S57" i="7"/>
  <c r="P57" i="7"/>
  <c r="O57" i="7"/>
  <c r="N57" i="7"/>
  <c r="M57" i="7"/>
  <c r="V56" i="7"/>
  <c r="S56" i="7"/>
  <c r="P56" i="7"/>
  <c r="O56" i="7"/>
  <c r="N56" i="7"/>
  <c r="M56" i="7"/>
  <c r="V55" i="7"/>
  <c r="S55" i="7"/>
  <c r="P55" i="7"/>
  <c r="O55" i="7"/>
  <c r="N55" i="7"/>
  <c r="M55" i="7"/>
  <c r="V54" i="7"/>
  <c r="S54" i="7"/>
  <c r="P54" i="7"/>
  <c r="O54" i="7"/>
  <c r="N54" i="7"/>
  <c r="M54" i="7"/>
  <c r="V53" i="7"/>
  <c r="S53" i="7"/>
  <c r="P53" i="7"/>
  <c r="O53" i="7"/>
  <c r="N53" i="7"/>
  <c r="M53" i="7"/>
  <c r="V52" i="7"/>
  <c r="S52" i="7"/>
  <c r="P52" i="7"/>
  <c r="O52" i="7"/>
  <c r="N52" i="7"/>
  <c r="M52" i="7"/>
  <c r="V51" i="7"/>
  <c r="S51" i="7"/>
  <c r="P51" i="7"/>
  <c r="O51" i="7"/>
  <c r="N51" i="7"/>
  <c r="M51" i="7"/>
  <c r="V50" i="7"/>
  <c r="S50" i="7"/>
  <c r="P50" i="7"/>
  <c r="O50" i="7"/>
  <c r="N50" i="7"/>
  <c r="M50" i="7"/>
  <c r="V49" i="7"/>
  <c r="S49" i="7"/>
  <c r="P49" i="7"/>
  <c r="O49" i="7"/>
  <c r="N49" i="7"/>
  <c r="M49" i="7"/>
  <c r="V48" i="7"/>
  <c r="S48" i="7"/>
  <c r="P48" i="7"/>
  <c r="O48" i="7"/>
  <c r="N48" i="7"/>
  <c r="M48" i="7"/>
  <c r="V47" i="7"/>
  <c r="S47" i="7"/>
  <c r="P47" i="7"/>
  <c r="O47" i="7"/>
  <c r="N47" i="7"/>
  <c r="M47" i="7"/>
  <c r="V46" i="7"/>
  <c r="S46" i="7"/>
  <c r="P46" i="7"/>
  <c r="O46" i="7"/>
  <c r="N46" i="7"/>
  <c r="M46" i="7"/>
  <c r="V45" i="7"/>
  <c r="S45" i="7"/>
  <c r="P45" i="7"/>
  <c r="O45" i="7"/>
  <c r="N45" i="7"/>
  <c r="M45" i="7"/>
  <c r="V44" i="7"/>
  <c r="S44" i="7"/>
  <c r="P44" i="7"/>
  <c r="O44" i="7"/>
  <c r="N44" i="7"/>
  <c r="M44" i="7"/>
  <c r="V43" i="7"/>
  <c r="S43" i="7"/>
  <c r="P43" i="7"/>
  <c r="O43" i="7"/>
  <c r="N43" i="7"/>
  <c r="M43" i="7"/>
  <c r="V42" i="7"/>
  <c r="S42" i="7"/>
  <c r="P42" i="7"/>
  <c r="O42" i="7"/>
  <c r="N42" i="7"/>
  <c r="M42" i="7"/>
  <c r="V41" i="7"/>
  <c r="S41" i="7"/>
  <c r="P41" i="7"/>
  <c r="O41" i="7"/>
  <c r="N41" i="7"/>
  <c r="M41" i="7"/>
  <c r="V40" i="7"/>
  <c r="S40" i="7"/>
  <c r="P40" i="7"/>
  <c r="O40" i="7"/>
  <c r="N40" i="7"/>
  <c r="M40" i="7"/>
  <c r="V39" i="7"/>
  <c r="S39" i="7"/>
  <c r="P39" i="7"/>
  <c r="O39" i="7"/>
  <c r="N39" i="7"/>
  <c r="M39" i="7"/>
  <c r="V38" i="7"/>
  <c r="S38" i="7"/>
  <c r="P38" i="7"/>
  <c r="O38" i="7"/>
  <c r="N38" i="7"/>
  <c r="M38" i="7"/>
  <c r="V37" i="7"/>
  <c r="S37" i="7"/>
  <c r="P37" i="7"/>
  <c r="O37" i="7"/>
  <c r="N37" i="7"/>
  <c r="M37" i="7"/>
  <c r="V36" i="7"/>
  <c r="S36" i="7"/>
  <c r="P36" i="7"/>
  <c r="O36" i="7"/>
  <c r="N36" i="7"/>
  <c r="M36" i="7"/>
  <c r="V35" i="7"/>
  <c r="S35" i="7"/>
  <c r="P35" i="7"/>
  <c r="O35" i="7"/>
  <c r="N35" i="7"/>
  <c r="M35" i="7"/>
  <c r="V34" i="7"/>
  <c r="S34" i="7"/>
  <c r="P34" i="7"/>
  <c r="O34" i="7"/>
  <c r="N34" i="7"/>
  <c r="M34" i="7"/>
  <c r="V33" i="7"/>
  <c r="S33" i="7"/>
  <c r="P33" i="7"/>
  <c r="O33" i="7"/>
  <c r="N33" i="7"/>
  <c r="M33" i="7"/>
  <c r="V32" i="7"/>
  <c r="S32" i="7"/>
  <c r="P32" i="7"/>
  <c r="O32" i="7"/>
  <c r="N32" i="7"/>
  <c r="M32" i="7"/>
  <c r="V31" i="7"/>
  <c r="S31" i="7"/>
  <c r="P31" i="7"/>
  <c r="O31" i="7"/>
  <c r="N31" i="7"/>
  <c r="M31" i="7"/>
  <c r="V30" i="7"/>
  <c r="S30" i="7"/>
  <c r="P30" i="7"/>
  <c r="O30" i="7"/>
  <c r="N30" i="7"/>
  <c r="M30" i="7"/>
  <c r="V29" i="7"/>
  <c r="S29" i="7"/>
  <c r="P29" i="7"/>
  <c r="O29" i="7"/>
  <c r="N29" i="7"/>
  <c r="M29" i="7"/>
  <c r="V28" i="7"/>
  <c r="S28" i="7"/>
  <c r="P28" i="7"/>
  <c r="O28" i="7"/>
  <c r="N28" i="7"/>
  <c r="M28" i="7"/>
  <c r="V27" i="7"/>
  <c r="S27" i="7"/>
  <c r="P27" i="7"/>
  <c r="O27" i="7"/>
  <c r="N27" i="7"/>
  <c r="M27" i="7"/>
  <c r="V26" i="7"/>
  <c r="S26" i="7"/>
  <c r="P26" i="7"/>
  <c r="O26" i="7"/>
  <c r="N26" i="7"/>
  <c r="M26" i="7"/>
  <c r="V25" i="7"/>
  <c r="S25" i="7"/>
  <c r="P25" i="7"/>
  <c r="O25" i="7"/>
  <c r="N25" i="7"/>
  <c r="M25" i="7"/>
  <c r="V24" i="7"/>
  <c r="S24" i="7"/>
  <c r="P24" i="7"/>
  <c r="O24" i="7"/>
  <c r="N24" i="7"/>
  <c r="M24" i="7"/>
  <c r="V23" i="7"/>
  <c r="S23" i="7"/>
  <c r="P23" i="7"/>
  <c r="O23" i="7"/>
  <c r="N23" i="7"/>
  <c r="M23" i="7"/>
  <c r="V22" i="7"/>
  <c r="S22" i="7"/>
  <c r="P22" i="7"/>
  <c r="O22" i="7"/>
  <c r="N22" i="7"/>
  <c r="M22" i="7"/>
  <c r="V21" i="7"/>
  <c r="S21" i="7"/>
  <c r="P21" i="7"/>
  <c r="O21" i="7"/>
  <c r="N21" i="7"/>
  <c r="M21" i="7"/>
  <c r="V20" i="7"/>
  <c r="S20" i="7"/>
  <c r="P20" i="7"/>
  <c r="O20" i="7"/>
  <c r="N20" i="7"/>
  <c r="M20" i="7"/>
  <c r="V19" i="7"/>
  <c r="S19" i="7"/>
  <c r="P19" i="7"/>
  <c r="O19" i="7"/>
  <c r="N19" i="7"/>
  <c r="M19" i="7"/>
  <c r="V18" i="7"/>
  <c r="S18" i="7"/>
  <c r="P18" i="7"/>
  <c r="O18" i="7"/>
  <c r="N18" i="7"/>
  <c r="M18" i="7"/>
  <c r="V17" i="7"/>
  <c r="S17" i="7"/>
  <c r="P17" i="7"/>
  <c r="O17" i="7"/>
  <c r="N17" i="7"/>
  <c r="M17" i="7"/>
  <c r="V16" i="7"/>
  <c r="S16" i="7"/>
  <c r="P16" i="7"/>
  <c r="O16" i="7"/>
  <c r="N16" i="7"/>
  <c r="M16" i="7"/>
  <c r="V15" i="7"/>
  <c r="S15" i="7"/>
  <c r="P15" i="7"/>
  <c r="O15" i="7"/>
  <c r="N15" i="7"/>
  <c r="M15" i="7"/>
  <c r="V14" i="7"/>
  <c r="S14" i="7"/>
  <c r="P14" i="7"/>
  <c r="O14" i="7"/>
  <c r="N14" i="7"/>
  <c r="M14" i="7"/>
  <c r="V13" i="7"/>
  <c r="S13" i="7"/>
  <c r="P13" i="7"/>
  <c r="O13" i="7"/>
  <c r="N13" i="7"/>
  <c r="M13" i="7"/>
  <c r="V12" i="7"/>
  <c r="S12" i="7"/>
  <c r="P12" i="7"/>
  <c r="O12" i="7"/>
  <c r="N12" i="7"/>
  <c r="M12" i="7"/>
  <c r="V11" i="7"/>
  <c r="S11" i="7"/>
  <c r="P11" i="7"/>
  <c r="O11" i="7"/>
  <c r="N11" i="7"/>
  <c r="M11" i="7"/>
  <c r="V10" i="7"/>
  <c r="S10" i="7"/>
  <c r="P10" i="7"/>
  <c r="O10" i="7"/>
  <c r="N10" i="7"/>
  <c r="M10" i="7"/>
  <c r="V9" i="7"/>
  <c r="S9" i="7"/>
  <c r="P9" i="7"/>
  <c r="O9" i="7"/>
  <c r="N9" i="7"/>
  <c r="M9" i="7"/>
  <c r="V8" i="7"/>
  <c r="S8" i="7"/>
  <c r="P8" i="7"/>
  <c r="O8" i="7"/>
  <c r="N8" i="7"/>
  <c r="M8" i="7"/>
  <c r="V7" i="7"/>
  <c r="S7" i="7"/>
  <c r="P7" i="7"/>
  <c r="O7" i="7"/>
  <c r="N7" i="7"/>
  <c r="M7" i="7"/>
  <c r="V6" i="7"/>
  <c r="S6" i="7"/>
  <c r="P6" i="7"/>
  <c r="O6" i="7"/>
  <c r="N6" i="7"/>
  <c r="M6" i="7"/>
  <c r="V5" i="7"/>
  <c r="S5" i="7"/>
  <c r="P5" i="7"/>
  <c r="O5" i="7"/>
  <c r="N5" i="7"/>
  <c r="M5" i="7"/>
  <c r="V4" i="7"/>
  <c r="S4" i="7"/>
  <c r="P4" i="7"/>
  <c r="O4" i="7"/>
  <c r="N4" i="7"/>
  <c r="M4" i="7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Y46" i="7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3" i="3"/>
  <c r="O5" i="2"/>
  <c r="A52" i="3"/>
  <c r="A53" i="3"/>
  <c r="A54" i="3"/>
  <c r="A55" i="3"/>
  <c r="A56" i="3"/>
  <c r="A57" i="3"/>
  <c r="A58" i="3"/>
  <c r="A59" i="3"/>
  <c r="A60" i="3"/>
  <c r="A61" i="3"/>
  <c r="B52" i="3"/>
  <c r="B53" i="3"/>
  <c r="B54" i="3"/>
  <c r="B55" i="3"/>
  <c r="B56" i="3"/>
  <c r="B57" i="3"/>
  <c r="B58" i="3"/>
  <c r="B59" i="3"/>
  <c r="B60" i="3"/>
  <c r="B61" i="3"/>
  <c r="C52" i="3"/>
  <c r="C53" i="3"/>
  <c r="C54" i="3"/>
  <c r="C55" i="3"/>
  <c r="C56" i="3"/>
  <c r="C57" i="3"/>
  <c r="C58" i="3"/>
  <c r="C59" i="3"/>
  <c r="C60" i="3"/>
  <c r="C61" i="3"/>
  <c r="D52" i="3"/>
  <c r="D53" i="3"/>
  <c r="D54" i="3"/>
  <c r="D55" i="3"/>
  <c r="D56" i="3"/>
  <c r="D57" i="3"/>
  <c r="D58" i="3"/>
  <c r="D59" i="3"/>
  <c r="D60" i="3"/>
  <c r="D61" i="3"/>
  <c r="F52" i="3"/>
  <c r="F53" i="3"/>
  <c r="F54" i="3"/>
  <c r="F55" i="3"/>
  <c r="F56" i="3"/>
  <c r="F57" i="3"/>
  <c r="F58" i="3"/>
  <c r="F59" i="3"/>
  <c r="F60" i="3"/>
  <c r="F61" i="3"/>
  <c r="G52" i="3"/>
  <c r="G53" i="3"/>
  <c r="G54" i="3"/>
  <c r="G55" i="3"/>
  <c r="G56" i="3"/>
  <c r="G57" i="3"/>
  <c r="G58" i="3"/>
  <c r="G59" i="3"/>
  <c r="G60" i="3"/>
  <c r="G61" i="3"/>
  <c r="H52" i="3"/>
  <c r="H53" i="3"/>
  <c r="H54" i="3"/>
  <c r="H55" i="3"/>
  <c r="H56" i="3"/>
  <c r="H57" i="3"/>
  <c r="H58" i="3"/>
  <c r="H59" i="3"/>
  <c r="H60" i="3"/>
  <c r="H61" i="3"/>
  <c r="I52" i="3"/>
  <c r="I53" i="3"/>
  <c r="I54" i="3"/>
  <c r="I55" i="3"/>
  <c r="I56" i="3"/>
  <c r="I57" i="3"/>
  <c r="I58" i="3"/>
  <c r="I59" i="3"/>
  <c r="I60" i="3"/>
  <c r="I61" i="3"/>
  <c r="J52" i="3"/>
  <c r="J53" i="3"/>
  <c r="J54" i="3"/>
  <c r="J55" i="3"/>
  <c r="J56" i="3"/>
  <c r="J57" i="3"/>
  <c r="J58" i="3"/>
  <c r="J59" i="3"/>
  <c r="J60" i="3"/>
  <c r="J61" i="3"/>
  <c r="K52" i="3"/>
  <c r="K53" i="3"/>
  <c r="K54" i="3"/>
  <c r="K55" i="3"/>
  <c r="K56" i="3"/>
  <c r="K57" i="3"/>
  <c r="K58" i="3"/>
  <c r="K59" i="3"/>
  <c r="K60" i="3"/>
  <c r="K61" i="3"/>
  <c r="L52" i="3"/>
  <c r="L53" i="3"/>
  <c r="L54" i="3"/>
  <c r="L55" i="3"/>
  <c r="L56" i="3"/>
  <c r="L57" i="3"/>
  <c r="L58" i="3"/>
  <c r="L59" i="3"/>
  <c r="L60" i="3"/>
  <c r="L61" i="3"/>
  <c r="M52" i="3"/>
  <c r="M53" i="3"/>
  <c r="M54" i="3"/>
  <c r="M55" i="3"/>
  <c r="M56" i="3"/>
  <c r="M57" i="3"/>
  <c r="M58" i="3"/>
  <c r="M59" i="3"/>
  <c r="M60" i="3"/>
  <c r="M61" i="3"/>
  <c r="N52" i="3"/>
  <c r="N53" i="3"/>
  <c r="N54" i="3"/>
  <c r="N55" i="3"/>
  <c r="N56" i="3"/>
  <c r="N57" i="3"/>
  <c r="N58" i="3"/>
  <c r="N59" i="3"/>
  <c r="N60" i="3"/>
  <c r="N61" i="3"/>
  <c r="O52" i="3"/>
  <c r="O53" i="3"/>
  <c r="O54" i="3"/>
  <c r="O55" i="3"/>
  <c r="O56" i="3"/>
  <c r="O57" i="3"/>
  <c r="O58" i="3"/>
  <c r="O59" i="3"/>
  <c r="O60" i="3"/>
  <c r="O61" i="3"/>
  <c r="P52" i="3"/>
  <c r="P53" i="3"/>
  <c r="N53" i="9" s="1"/>
  <c r="P54" i="3"/>
  <c r="P55" i="3"/>
  <c r="P56" i="3"/>
  <c r="P57" i="3"/>
  <c r="P58" i="3"/>
  <c r="P59" i="3"/>
  <c r="P60" i="3"/>
  <c r="P61" i="3"/>
  <c r="N61" i="9" s="1"/>
  <c r="Q52" i="3"/>
  <c r="Q53" i="3"/>
  <c r="Q54" i="3"/>
  <c r="Q55" i="3"/>
  <c r="Q56" i="3"/>
  <c r="Q57" i="3"/>
  <c r="Q58" i="3"/>
  <c r="Q59" i="3"/>
  <c r="Q60" i="3"/>
  <c r="Q61" i="3"/>
  <c r="R52" i="3"/>
  <c r="R53" i="3"/>
  <c r="R54" i="3"/>
  <c r="R55" i="3"/>
  <c r="R56" i="3"/>
  <c r="R57" i="3"/>
  <c r="R58" i="3"/>
  <c r="R59" i="3"/>
  <c r="R60" i="3"/>
  <c r="R61" i="3"/>
  <c r="V52" i="3"/>
  <c r="V53" i="3"/>
  <c r="V54" i="3"/>
  <c r="V55" i="3"/>
  <c r="V56" i="3"/>
  <c r="V57" i="3"/>
  <c r="V58" i="3"/>
  <c r="V59" i="3"/>
  <c r="V60" i="3"/>
  <c r="V61" i="3"/>
  <c r="Y52" i="3"/>
  <c r="Z52" i="3" s="1"/>
  <c r="Y53" i="3"/>
  <c r="Z53" i="3" s="1"/>
  <c r="Y54" i="3"/>
  <c r="W54" i="7" s="1"/>
  <c r="Y55" i="3"/>
  <c r="Z55" i="3" s="1"/>
  <c r="Y56" i="3"/>
  <c r="Z56" i="3" s="1"/>
  <c r="Y57" i="3"/>
  <c r="W57" i="7" s="1"/>
  <c r="Y58" i="3"/>
  <c r="Z58" i="3" s="1"/>
  <c r="Y59" i="3"/>
  <c r="Z59" i="3" s="1"/>
  <c r="Y60" i="3"/>
  <c r="Z60" i="3" s="1"/>
  <c r="Y61" i="3"/>
  <c r="Z61" i="3" s="1"/>
  <c r="A52" i="7"/>
  <c r="A53" i="7"/>
  <c r="A54" i="7"/>
  <c r="A55" i="7"/>
  <c r="A56" i="7"/>
  <c r="A57" i="7"/>
  <c r="A58" i="7"/>
  <c r="A59" i="7"/>
  <c r="A60" i="7"/>
  <c r="B52" i="7"/>
  <c r="B53" i="7"/>
  <c r="B54" i="7"/>
  <c r="B55" i="7"/>
  <c r="B56" i="7"/>
  <c r="B57" i="7"/>
  <c r="B58" i="7"/>
  <c r="B59" i="7"/>
  <c r="B60" i="7"/>
  <c r="C52" i="7"/>
  <c r="C53" i="7"/>
  <c r="C54" i="7"/>
  <c r="C55" i="7"/>
  <c r="C58" i="7"/>
  <c r="C59" i="7"/>
  <c r="C60" i="7"/>
  <c r="E52" i="7"/>
  <c r="E53" i="7"/>
  <c r="E54" i="7"/>
  <c r="E55" i="7"/>
  <c r="E56" i="7"/>
  <c r="E57" i="7"/>
  <c r="E58" i="7"/>
  <c r="E59" i="7"/>
  <c r="E60" i="7"/>
  <c r="F52" i="7"/>
  <c r="F53" i="7"/>
  <c r="F54" i="7"/>
  <c r="F55" i="7"/>
  <c r="F56" i="7"/>
  <c r="F57" i="7"/>
  <c r="F58" i="7"/>
  <c r="F59" i="7"/>
  <c r="F60" i="7"/>
  <c r="G52" i="7"/>
  <c r="G53" i="7"/>
  <c r="G54" i="7"/>
  <c r="G55" i="7"/>
  <c r="G56" i="7"/>
  <c r="G57" i="7"/>
  <c r="G58" i="7"/>
  <c r="G59" i="7"/>
  <c r="G60" i="7"/>
  <c r="H52" i="7"/>
  <c r="H53" i="7"/>
  <c r="H54" i="7"/>
  <c r="H55" i="7"/>
  <c r="H56" i="7"/>
  <c r="H57" i="7"/>
  <c r="H58" i="7"/>
  <c r="H59" i="7"/>
  <c r="H60" i="7"/>
  <c r="I52" i="7"/>
  <c r="I53" i="7"/>
  <c r="I54" i="7"/>
  <c r="I55" i="7"/>
  <c r="I56" i="7"/>
  <c r="I57" i="7"/>
  <c r="I58" i="7"/>
  <c r="I59" i="7"/>
  <c r="I60" i="7"/>
  <c r="J52" i="7"/>
  <c r="J53" i="7"/>
  <c r="J54" i="7"/>
  <c r="J55" i="7"/>
  <c r="J56" i="7"/>
  <c r="J57" i="7"/>
  <c r="J58" i="7"/>
  <c r="J59" i="7"/>
  <c r="J60" i="7"/>
  <c r="K52" i="7"/>
  <c r="K53" i="7"/>
  <c r="K54" i="7"/>
  <c r="K55" i="7"/>
  <c r="K56" i="7"/>
  <c r="K57" i="7"/>
  <c r="K58" i="7"/>
  <c r="K59" i="7"/>
  <c r="K60" i="7"/>
  <c r="M59" i="7"/>
  <c r="N59" i="7"/>
  <c r="O59" i="7"/>
  <c r="P59" i="7"/>
  <c r="V3" i="7"/>
  <c r="S3" i="7"/>
  <c r="AC65" i="4" l="1"/>
  <c r="V65" i="9"/>
  <c r="V64" i="9"/>
  <c r="AC64" i="4"/>
  <c r="AB61" i="4"/>
  <c r="AC61" i="4"/>
  <c r="V61" i="9"/>
  <c r="X60" i="7"/>
  <c r="V60" i="9"/>
  <c r="AC60" i="4"/>
  <c r="X59" i="7"/>
  <c r="AC59" i="4"/>
  <c r="V59" i="9"/>
  <c r="X58" i="7"/>
  <c r="V58" i="9"/>
  <c r="AC58" i="4"/>
  <c r="X56" i="7"/>
  <c r="V56" i="9"/>
  <c r="AC56" i="4"/>
  <c r="X55" i="7"/>
  <c r="AC55" i="4"/>
  <c r="V55" i="9"/>
  <c r="X53" i="7"/>
  <c r="AC53" i="4"/>
  <c r="V53" i="9"/>
  <c r="X52" i="7"/>
  <c r="V52" i="9"/>
  <c r="AC52" i="4"/>
  <c r="L3" i="9"/>
  <c r="Q3" i="4"/>
  <c r="D59" i="7"/>
  <c r="F59" i="4"/>
  <c r="D55" i="7"/>
  <c r="F55" i="4"/>
  <c r="U61" i="4"/>
  <c r="Q61" i="9"/>
  <c r="P61" i="9"/>
  <c r="U53" i="4"/>
  <c r="P53" i="9"/>
  <c r="Q53" i="9"/>
  <c r="S57" i="4"/>
  <c r="N57" i="9"/>
  <c r="R59" i="4"/>
  <c r="M59" i="9"/>
  <c r="Q61" i="4"/>
  <c r="L61" i="9"/>
  <c r="Q53" i="4"/>
  <c r="L53" i="9"/>
  <c r="P55" i="4"/>
  <c r="K55" i="9"/>
  <c r="O61" i="4"/>
  <c r="J61" i="9"/>
  <c r="O53" i="4"/>
  <c r="J53" i="9"/>
  <c r="D55" i="4"/>
  <c r="D55" i="9"/>
  <c r="C57" i="4"/>
  <c r="C57" i="9"/>
  <c r="E59" i="3"/>
  <c r="B59" i="9"/>
  <c r="A61" i="4"/>
  <c r="A61" i="9"/>
  <c r="A53" i="4"/>
  <c r="A53" i="9"/>
  <c r="Y57" i="7"/>
  <c r="W57" i="9"/>
  <c r="Y49" i="7"/>
  <c r="W49" i="9"/>
  <c r="Y41" i="7"/>
  <c r="W41" i="9"/>
  <c r="Y33" i="7"/>
  <c r="W33" i="9"/>
  <c r="Y25" i="7"/>
  <c r="W25" i="9"/>
  <c r="Y17" i="7"/>
  <c r="W17" i="9"/>
  <c r="Y9" i="7"/>
  <c r="W9" i="9"/>
  <c r="Y66" i="7"/>
  <c r="W66" i="9"/>
  <c r="U65" i="4"/>
  <c r="Q65" i="9"/>
  <c r="P65" i="9"/>
  <c r="T62" i="4"/>
  <c r="O62" i="9"/>
  <c r="R64" i="4"/>
  <c r="M64" i="9"/>
  <c r="P66" i="4"/>
  <c r="K66" i="9"/>
  <c r="O65" i="4"/>
  <c r="J65" i="9"/>
  <c r="D62" i="4"/>
  <c r="D62" i="9"/>
  <c r="E64" i="3"/>
  <c r="B64" i="9"/>
  <c r="A65" i="4"/>
  <c r="A65" i="9"/>
  <c r="D68" i="7"/>
  <c r="F68" i="4"/>
  <c r="Y67" i="7"/>
  <c r="W67" i="9"/>
  <c r="T67" i="4"/>
  <c r="O67" i="9"/>
  <c r="D58" i="7"/>
  <c r="F58" i="4"/>
  <c r="U60" i="4"/>
  <c r="Q60" i="9"/>
  <c r="P60" i="9"/>
  <c r="P52" i="9"/>
  <c r="Q52" i="9"/>
  <c r="T54" i="4"/>
  <c r="O54" i="9"/>
  <c r="S56" i="4"/>
  <c r="N56" i="9"/>
  <c r="R58" i="4"/>
  <c r="M58" i="9"/>
  <c r="Q60" i="4"/>
  <c r="L60" i="9"/>
  <c r="P58" i="4"/>
  <c r="K58" i="9"/>
  <c r="O56" i="4"/>
  <c r="J56" i="9"/>
  <c r="D58" i="4"/>
  <c r="D58" i="9"/>
  <c r="C60" i="4"/>
  <c r="C60" i="9"/>
  <c r="C52" i="4"/>
  <c r="C52" i="9"/>
  <c r="E54" i="3"/>
  <c r="B54" i="9"/>
  <c r="A56" i="4"/>
  <c r="A56" i="9"/>
  <c r="Y52" i="7"/>
  <c r="W52" i="9"/>
  <c r="Y44" i="7"/>
  <c r="W44" i="9"/>
  <c r="Y36" i="7"/>
  <c r="W36" i="9"/>
  <c r="Y28" i="7"/>
  <c r="W28" i="9"/>
  <c r="Y20" i="7"/>
  <c r="W20" i="9"/>
  <c r="Y12" i="7"/>
  <c r="W12" i="9"/>
  <c r="Y4" i="7"/>
  <c r="W4" i="9"/>
  <c r="AD65" i="4"/>
  <c r="W65" i="9"/>
  <c r="T65" i="4"/>
  <c r="O65" i="9"/>
  <c r="R63" i="4"/>
  <c r="M63" i="9"/>
  <c r="Q64" i="4"/>
  <c r="L64" i="9"/>
  <c r="C66" i="4"/>
  <c r="C66" i="9"/>
  <c r="B63" i="4"/>
  <c r="B63" i="9"/>
  <c r="D67" i="7"/>
  <c r="F67" i="4"/>
  <c r="D57" i="7"/>
  <c r="F57" i="4"/>
  <c r="D53" i="7"/>
  <c r="F53" i="4"/>
  <c r="U59" i="4"/>
  <c r="Q59" i="9"/>
  <c r="P59" i="9"/>
  <c r="Q55" i="9"/>
  <c r="P55" i="9"/>
  <c r="T61" i="4"/>
  <c r="O61" i="9"/>
  <c r="T57" i="4"/>
  <c r="O57" i="9"/>
  <c r="T53" i="4"/>
  <c r="O53" i="9"/>
  <c r="S59" i="4"/>
  <c r="N59" i="9"/>
  <c r="S55" i="4"/>
  <c r="N55" i="9"/>
  <c r="R61" i="4"/>
  <c r="M61" i="9"/>
  <c r="R57" i="4"/>
  <c r="M57" i="9"/>
  <c r="R53" i="4"/>
  <c r="M53" i="9"/>
  <c r="Q59" i="4"/>
  <c r="L59" i="9"/>
  <c r="Q55" i="4"/>
  <c r="L55" i="9"/>
  <c r="P61" i="4"/>
  <c r="K61" i="9"/>
  <c r="P57" i="4"/>
  <c r="K57" i="9"/>
  <c r="P53" i="4"/>
  <c r="K53" i="9"/>
  <c r="O59" i="4"/>
  <c r="J59" i="9"/>
  <c r="O55" i="4"/>
  <c r="J55" i="9"/>
  <c r="D61" i="4"/>
  <c r="D61" i="9"/>
  <c r="D57" i="4"/>
  <c r="D57" i="9"/>
  <c r="D53" i="4"/>
  <c r="D53" i="9"/>
  <c r="C59" i="4"/>
  <c r="C59" i="9"/>
  <c r="C55" i="4"/>
  <c r="C55" i="9"/>
  <c r="E61" i="3"/>
  <c r="B61" i="9"/>
  <c r="B57" i="4"/>
  <c r="B57" i="9"/>
  <c r="B53" i="4"/>
  <c r="B53" i="9"/>
  <c r="A59" i="4"/>
  <c r="A59" i="9"/>
  <c r="A55" i="4"/>
  <c r="A55" i="9"/>
  <c r="AD59" i="4"/>
  <c r="W59" i="9"/>
  <c r="Y55" i="7"/>
  <c r="W55" i="9"/>
  <c r="Y51" i="7"/>
  <c r="W51" i="9"/>
  <c r="Y47" i="7"/>
  <c r="W47" i="9"/>
  <c r="Y43" i="7"/>
  <c r="W43" i="9"/>
  <c r="Y39" i="7"/>
  <c r="W39" i="9"/>
  <c r="Y35" i="7"/>
  <c r="W35" i="9"/>
  <c r="Y31" i="7"/>
  <c r="W31" i="9"/>
  <c r="Y27" i="7"/>
  <c r="W27" i="9"/>
  <c r="Y23" i="7"/>
  <c r="W23" i="9"/>
  <c r="Y19" i="7"/>
  <c r="W19" i="9"/>
  <c r="Y15" i="7"/>
  <c r="W15" i="9"/>
  <c r="Y11" i="7"/>
  <c r="W11" i="9"/>
  <c r="Y7" i="7"/>
  <c r="W7" i="9"/>
  <c r="AD64" i="4"/>
  <c r="W64" i="9"/>
  <c r="U63" i="4"/>
  <c r="Q63" i="9"/>
  <c r="P63" i="9"/>
  <c r="T64" i="4"/>
  <c r="O64" i="9"/>
  <c r="S65" i="4"/>
  <c r="N65" i="9"/>
  <c r="R66" i="4"/>
  <c r="M66" i="9"/>
  <c r="R62" i="4"/>
  <c r="M62" i="9"/>
  <c r="Q63" i="4"/>
  <c r="L63" i="9"/>
  <c r="P64" i="4"/>
  <c r="K64" i="9"/>
  <c r="O63" i="4"/>
  <c r="J63" i="9"/>
  <c r="D64" i="4"/>
  <c r="D64" i="9"/>
  <c r="C65" i="4"/>
  <c r="C65" i="9"/>
  <c r="B62" i="4"/>
  <c r="B62" i="9"/>
  <c r="A63" i="4"/>
  <c r="A63" i="9"/>
  <c r="D66" i="7"/>
  <c r="F66" i="4"/>
  <c r="D62" i="7"/>
  <c r="F62" i="4"/>
  <c r="R67" i="4"/>
  <c r="M67" i="9"/>
  <c r="E67" i="3"/>
  <c r="B67" i="9"/>
  <c r="Q57" i="9"/>
  <c r="P57" i="9"/>
  <c r="T59" i="4"/>
  <c r="O59" i="9"/>
  <c r="T55" i="4"/>
  <c r="O55" i="9"/>
  <c r="R55" i="4"/>
  <c r="M55" i="9"/>
  <c r="Q57" i="4"/>
  <c r="L57" i="9"/>
  <c r="P59" i="4"/>
  <c r="K59" i="9"/>
  <c r="O57" i="4"/>
  <c r="J57" i="9"/>
  <c r="D59" i="4"/>
  <c r="D59" i="9"/>
  <c r="C61" i="4"/>
  <c r="C61" i="9"/>
  <c r="C53" i="4"/>
  <c r="C53" i="9"/>
  <c r="B55" i="4"/>
  <c r="B55" i="9"/>
  <c r="A57" i="4"/>
  <c r="A57" i="9"/>
  <c r="Y61" i="7"/>
  <c r="W61" i="9"/>
  <c r="Y53" i="7"/>
  <c r="W53" i="9"/>
  <c r="Y45" i="7"/>
  <c r="W45" i="9"/>
  <c r="Y37" i="7"/>
  <c r="W37" i="9"/>
  <c r="Y29" i="7"/>
  <c r="W29" i="9"/>
  <c r="Y21" i="7"/>
  <c r="W21" i="9"/>
  <c r="Y13" i="7"/>
  <c r="W13" i="9"/>
  <c r="Y5" i="7"/>
  <c r="W5" i="9"/>
  <c r="Y62" i="7"/>
  <c r="W62" i="9"/>
  <c r="T66" i="4"/>
  <c r="O66" i="9"/>
  <c r="S63" i="4"/>
  <c r="N63" i="9"/>
  <c r="Q65" i="4"/>
  <c r="L65" i="9"/>
  <c r="P62" i="4"/>
  <c r="K62" i="9"/>
  <c r="D66" i="4"/>
  <c r="D66" i="9"/>
  <c r="C63" i="4"/>
  <c r="C63" i="9"/>
  <c r="D64" i="7"/>
  <c r="F64" i="4"/>
  <c r="P67" i="4"/>
  <c r="K67" i="9"/>
  <c r="D67" i="4"/>
  <c r="D67" i="9"/>
  <c r="D54" i="7"/>
  <c r="F54" i="4"/>
  <c r="Q56" i="9"/>
  <c r="P56" i="9"/>
  <c r="T58" i="4"/>
  <c r="O58" i="9"/>
  <c r="S60" i="4"/>
  <c r="N60" i="9"/>
  <c r="S52" i="4"/>
  <c r="N52" i="9"/>
  <c r="R54" i="4"/>
  <c r="M54" i="9"/>
  <c r="Q56" i="4"/>
  <c r="L56" i="9"/>
  <c r="Q52" i="4"/>
  <c r="L52" i="9"/>
  <c r="P54" i="4"/>
  <c r="K54" i="9"/>
  <c r="O60" i="4"/>
  <c r="J60" i="9"/>
  <c r="O52" i="4"/>
  <c r="J52" i="9"/>
  <c r="D54" i="4"/>
  <c r="D54" i="9"/>
  <c r="C56" i="4"/>
  <c r="C56" i="9"/>
  <c r="E58" i="3"/>
  <c r="B58" i="9"/>
  <c r="A60" i="4"/>
  <c r="A60" i="9"/>
  <c r="A52" i="4"/>
  <c r="A52" i="9"/>
  <c r="Y60" i="7"/>
  <c r="W60" i="9"/>
  <c r="Y56" i="7"/>
  <c r="W56" i="9"/>
  <c r="Y48" i="7"/>
  <c r="W48" i="9"/>
  <c r="Y40" i="7"/>
  <c r="W40" i="9"/>
  <c r="Y32" i="7"/>
  <c r="W32" i="9"/>
  <c r="Y24" i="7"/>
  <c r="W24" i="9"/>
  <c r="Y16" i="7"/>
  <c r="W16" i="9"/>
  <c r="Y8" i="7"/>
  <c r="W8" i="9"/>
  <c r="U64" i="4"/>
  <c r="Q64" i="9"/>
  <c r="P64" i="9"/>
  <c r="S66" i="4"/>
  <c r="N66" i="9"/>
  <c r="S62" i="4"/>
  <c r="N62" i="9"/>
  <c r="P65" i="4"/>
  <c r="K65" i="9"/>
  <c r="O64" i="4"/>
  <c r="J64" i="9"/>
  <c r="D65" i="4"/>
  <c r="D65" i="9"/>
  <c r="C62" i="4"/>
  <c r="C62" i="9"/>
  <c r="A64" i="4"/>
  <c r="A64" i="9"/>
  <c r="D63" i="7"/>
  <c r="F63" i="4"/>
  <c r="C67" i="4"/>
  <c r="C67" i="9"/>
  <c r="D60" i="7"/>
  <c r="F60" i="4"/>
  <c r="D56" i="7"/>
  <c r="F56" i="4"/>
  <c r="D52" i="7"/>
  <c r="F52" i="4"/>
  <c r="U58" i="4"/>
  <c r="Q58" i="9"/>
  <c r="P58" i="9"/>
  <c r="U54" i="4"/>
  <c r="P54" i="9"/>
  <c r="Q54" i="9"/>
  <c r="T60" i="4"/>
  <c r="O60" i="9"/>
  <c r="T56" i="4"/>
  <c r="O56" i="9"/>
  <c r="T52" i="4"/>
  <c r="O52" i="9"/>
  <c r="S58" i="4"/>
  <c r="N58" i="9"/>
  <c r="S54" i="4"/>
  <c r="N54" i="9"/>
  <c r="R60" i="4"/>
  <c r="M60" i="9"/>
  <c r="R56" i="4"/>
  <c r="M56" i="9"/>
  <c r="R52" i="4"/>
  <c r="M52" i="9"/>
  <c r="Q58" i="4"/>
  <c r="L58" i="9"/>
  <c r="Q54" i="4"/>
  <c r="L54" i="9"/>
  <c r="P60" i="4"/>
  <c r="K60" i="9"/>
  <c r="P56" i="4"/>
  <c r="K56" i="9"/>
  <c r="P52" i="4"/>
  <c r="K52" i="9"/>
  <c r="O58" i="4"/>
  <c r="J58" i="9"/>
  <c r="O54" i="4"/>
  <c r="J54" i="9"/>
  <c r="D60" i="4"/>
  <c r="D60" i="9"/>
  <c r="D56" i="4"/>
  <c r="D56" i="9"/>
  <c r="D52" i="4"/>
  <c r="D52" i="9"/>
  <c r="C58" i="4"/>
  <c r="C58" i="9"/>
  <c r="C54" i="4"/>
  <c r="C54" i="9"/>
  <c r="B60" i="4"/>
  <c r="B60" i="9"/>
  <c r="E56" i="3"/>
  <c r="B56" i="9"/>
  <c r="B52" i="4"/>
  <c r="B52" i="9"/>
  <c r="A58" i="4"/>
  <c r="A58" i="9"/>
  <c r="A54" i="4"/>
  <c r="A54" i="9"/>
  <c r="Y3" i="7"/>
  <c r="W3" i="9"/>
  <c r="Y58" i="7"/>
  <c r="W58" i="9"/>
  <c r="Y54" i="7"/>
  <c r="W54" i="9"/>
  <c r="Y50" i="7"/>
  <c r="W50" i="9"/>
  <c r="Y42" i="7"/>
  <c r="W42" i="9"/>
  <c r="Y38" i="7"/>
  <c r="W38" i="9"/>
  <c r="Y34" i="7"/>
  <c r="W34" i="9"/>
  <c r="Y30" i="7"/>
  <c r="W30" i="9"/>
  <c r="Y26" i="7"/>
  <c r="W26" i="9"/>
  <c r="Y22" i="7"/>
  <c r="W22" i="9"/>
  <c r="Y18" i="7"/>
  <c r="W18" i="9"/>
  <c r="Y14" i="7"/>
  <c r="W14" i="9"/>
  <c r="Y10" i="7"/>
  <c r="W10" i="9"/>
  <c r="Y6" i="7"/>
  <c r="W6" i="9"/>
  <c r="Y63" i="7"/>
  <c r="W63" i="9"/>
  <c r="U66" i="4"/>
  <c r="Q66" i="9"/>
  <c r="P66" i="9"/>
  <c r="Q62" i="9"/>
  <c r="P62" i="9"/>
  <c r="T63" i="4"/>
  <c r="O63" i="9"/>
  <c r="S64" i="4"/>
  <c r="N64" i="9"/>
  <c r="R65" i="4"/>
  <c r="M65" i="9"/>
  <c r="Q66" i="4"/>
  <c r="L66" i="9"/>
  <c r="Q62" i="4"/>
  <c r="L62" i="9"/>
  <c r="P63" i="4"/>
  <c r="K63" i="9"/>
  <c r="O66" i="4"/>
  <c r="J66" i="9"/>
  <c r="O62" i="4"/>
  <c r="J62" i="9"/>
  <c r="D63" i="4"/>
  <c r="D63" i="9"/>
  <c r="C64" i="4"/>
  <c r="C64" i="9"/>
  <c r="B65" i="4"/>
  <c r="B65" i="9"/>
  <c r="A66" i="4"/>
  <c r="A66" i="9"/>
  <c r="A62" i="4"/>
  <c r="A62" i="9"/>
  <c r="D65" i="7"/>
  <c r="F65" i="4"/>
  <c r="D61" i="7"/>
  <c r="F61" i="4"/>
  <c r="Q67" i="9"/>
  <c r="P67" i="9"/>
  <c r="Q67" i="4"/>
  <c r="L67" i="9"/>
  <c r="O67" i="4"/>
  <c r="J67" i="9"/>
  <c r="A67" i="4"/>
  <c r="A67" i="9"/>
  <c r="W68" i="4"/>
  <c r="S68" i="9"/>
  <c r="E65" i="3"/>
  <c r="W61" i="3"/>
  <c r="U61" i="7" s="1"/>
  <c r="T61" i="7"/>
  <c r="W53" i="3"/>
  <c r="U53" i="7" s="1"/>
  <c r="T53" i="7"/>
  <c r="T56" i="7"/>
  <c r="W56" i="3"/>
  <c r="U56" i="7" s="1"/>
  <c r="W65" i="3"/>
  <c r="U65" i="7" s="1"/>
  <c r="T65" i="7"/>
  <c r="T67" i="7"/>
  <c r="W67" i="3"/>
  <c r="U67" i="7" s="1"/>
  <c r="T57" i="7"/>
  <c r="W57" i="3"/>
  <c r="U57" i="7" s="1"/>
  <c r="W66" i="3"/>
  <c r="U66" i="7" s="1"/>
  <c r="T66" i="7"/>
  <c r="T59" i="7"/>
  <c r="W59" i="3"/>
  <c r="U59" i="7" s="1"/>
  <c r="T55" i="7"/>
  <c r="W55" i="3"/>
  <c r="U55" i="7" s="1"/>
  <c r="T64" i="7"/>
  <c r="W64" i="3"/>
  <c r="U64" i="7" s="1"/>
  <c r="T62" i="7"/>
  <c r="W62" i="3"/>
  <c r="U62" i="7" s="1"/>
  <c r="T60" i="7"/>
  <c r="W60" i="3"/>
  <c r="U60" i="7" s="1"/>
  <c r="T52" i="7"/>
  <c r="W52" i="3"/>
  <c r="U52" i="7" s="1"/>
  <c r="T58" i="7"/>
  <c r="W58" i="3"/>
  <c r="U58" i="7" s="1"/>
  <c r="T54" i="7"/>
  <c r="W54" i="3"/>
  <c r="U54" i="7" s="1"/>
  <c r="T63" i="7"/>
  <c r="W63" i="3"/>
  <c r="U63" i="7" s="1"/>
  <c r="R68" i="7"/>
  <c r="Q67" i="7"/>
  <c r="Q60" i="7"/>
  <c r="Q62" i="7"/>
  <c r="Q64" i="7"/>
  <c r="Q66" i="7"/>
  <c r="Q61" i="7"/>
  <c r="Q63" i="7"/>
  <c r="Q68" i="7"/>
  <c r="Q65" i="7"/>
  <c r="Y65" i="7"/>
  <c r="U67" i="4"/>
  <c r="B67" i="4"/>
  <c r="B64" i="4"/>
  <c r="Y64" i="7"/>
  <c r="S67" i="3"/>
  <c r="T67" i="3" s="1"/>
  <c r="AD67" i="4"/>
  <c r="S67" i="4"/>
  <c r="AD66" i="4"/>
  <c r="B66" i="4"/>
  <c r="Z66" i="3"/>
  <c r="W64" i="7"/>
  <c r="Z67" i="3"/>
  <c r="X65" i="7"/>
  <c r="AB65" i="4"/>
  <c r="W65" i="7"/>
  <c r="X64" i="7"/>
  <c r="AB64" i="4"/>
  <c r="Z63" i="3"/>
  <c r="X61" i="7"/>
  <c r="W61" i="7"/>
  <c r="W60" i="7"/>
  <c r="Z54" i="3"/>
  <c r="AB58" i="4"/>
  <c r="Z62" i="3"/>
  <c r="AB60" i="4"/>
  <c r="AB59" i="4"/>
  <c r="AB56" i="4"/>
  <c r="AB55" i="4"/>
  <c r="AB53" i="4"/>
  <c r="AB52" i="4"/>
  <c r="AD61" i="4"/>
  <c r="E63" i="3"/>
  <c r="S66" i="3"/>
  <c r="T66" i="3" s="1"/>
  <c r="S66" i="9" s="1"/>
  <c r="S65" i="3"/>
  <c r="T65" i="3" s="1"/>
  <c r="S65" i="9" s="1"/>
  <c r="E60" i="3"/>
  <c r="S62" i="3"/>
  <c r="T62" i="3" s="1"/>
  <c r="S62" i="9" s="1"/>
  <c r="S64" i="3"/>
  <c r="T64" i="3" s="1"/>
  <c r="S64" i="9" s="1"/>
  <c r="E55" i="3"/>
  <c r="Y59" i="7"/>
  <c r="S59" i="3"/>
  <c r="T59" i="3" s="1"/>
  <c r="S61" i="3"/>
  <c r="T61" i="3" s="1"/>
  <c r="S61" i="9" s="1"/>
  <c r="S53" i="3"/>
  <c r="T53" i="3" s="1"/>
  <c r="E52" i="3"/>
  <c r="E57" i="3"/>
  <c r="AD52" i="4"/>
  <c r="U57" i="4"/>
  <c r="S57" i="3"/>
  <c r="T57" i="3" s="1"/>
  <c r="S57" i="9" s="1"/>
  <c r="S60" i="3"/>
  <c r="T60" i="3" s="1"/>
  <c r="E62" i="3"/>
  <c r="AD55" i="4"/>
  <c r="U56" i="4"/>
  <c r="U52" i="4"/>
  <c r="B58" i="4"/>
  <c r="B54" i="4"/>
  <c r="AD60" i="4"/>
  <c r="S61" i="4"/>
  <c r="B61" i="4"/>
  <c r="AD56" i="4"/>
  <c r="S55" i="3"/>
  <c r="T55" i="3" s="1"/>
  <c r="S55" i="9" s="1"/>
  <c r="E53" i="3"/>
  <c r="S63" i="3"/>
  <c r="T63" i="3" s="1"/>
  <c r="AD58" i="4"/>
  <c r="AD54" i="4"/>
  <c r="U55" i="4"/>
  <c r="S53" i="4"/>
  <c r="AD63" i="4"/>
  <c r="U62" i="4"/>
  <c r="Q5" i="7"/>
  <c r="Q7" i="7"/>
  <c r="Q9" i="7"/>
  <c r="Q11" i="7"/>
  <c r="Q13" i="7"/>
  <c r="Q15" i="7"/>
  <c r="Q17" i="7"/>
  <c r="Q19" i="7"/>
  <c r="Q21" i="7"/>
  <c r="Q23" i="7"/>
  <c r="AD57" i="4"/>
  <c r="AD53" i="4"/>
  <c r="B56" i="4"/>
  <c r="AD62" i="4"/>
  <c r="B59" i="4"/>
  <c r="S56" i="3"/>
  <c r="T56" i="3" s="1"/>
  <c r="S56" i="9" s="1"/>
  <c r="S52" i="3"/>
  <c r="T52" i="3" s="1"/>
  <c r="S52" i="9" s="1"/>
  <c r="S58" i="3"/>
  <c r="T58" i="3" s="1"/>
  <c r="S58" i="9" s="1"/>
  <c r="S54" i="3"/>
  <c r="T54" i="3" s="1"/>
  <c r="S54" i="9" s="1"/>
  <c r="Q6" i="7"/>
  <c r="Q8" i="7"/>
  <c r="Q10" i="7"/>
  <c r="Q12" i="7"/>
  <c r="Q14" i="7"/>
  <c r="Q16" i="7"/>
  <c r="Q18" i="7"/>
  <c r="Q20" i="7"/>
  <c r="Q22" i="7"/>
  <c r="Q4" i="7"/>
  <c r="Q25" i="7"/>
  <c r="Q26" i="7"/>
  <c r="Q27" i="7"/>
  <c r="Q29" i="7"/>
  <c r="Q30" i="7"/>
  <c r="Q31" i="7"/>
  <c r="Q33" i="7"/>
  <c r="Q34" i="7"/>
  <c r="Q35" i="7"/>
  <c r="Q37" i="7"/>
  <c r="Q38" i="7"/>
  <c r="Q39" i="7"/>
  <c r="Q41" i="7"/>
  <c r="Q42" i="7"/>
  <c r="Q43" i="7"/>
  <c r="Q45" i="7"/>
  <c r="Q46" i="7"/>
  <c r="Q47" i="7"/>
  <c r="Q49" i="7"/>
  <c r="Q50" i="7"/>
  <c r="Q51" i="7"/>
  <c r="Q53" i="7"/>
  <c r="Q54" i="7"/>
  <c r="Q55" i="7"/>
  <c r="Q57" i="7"/>
  <c r="Q58" i="7"/>
  <c r="W53" i="7"/>
  <c r="W58" i="7"/>
  <c r="W56" i="7"/>
  <c r="W55" i="7"/>
  <c r="W52" i="7"/>
  <c r="Q24" i="7"/>
  <c r="Q28" i="7"/>
  <c r="Q32" i="7"/>
  <c r="Q36" i="7"/>
  <c r="Q40" i="7"/>
  <c r="Q44" i="7"/>
  <c r="Q48" i="7"/>
  <c r="Q52" i="7"/>
  <c r="Q56" i="7"/>
  <c r="Z57" i="3"/>
  <c r="W59" i="7"/>
  <c r="Q59" i="7"/>
  <c r="Y3" i="3"/>
  <c r="W3" i="7" s="1"/>
  <c r="Y4" i="3"/>
  <c r="W4" i="7" s="1"/>
  <c r="Y5" i="3"/>
  <c r="W5" i="7" s="1"/>
  <c r="Y6" i="3"/>
  <c r="W6" i="7" s="1"/>
  <c r="Y7" i="3"/>
  <c r="W7" i="7" s="1"/>
  <c r="Y8" i="3"/>
  <c r="W8" i="7" s="1"/>
  <c r="Y9" i="3"/>
  <c r="W9" i="7" s="1"/>
  <c r="Y10" i="3"/>
  <c r="W10" i="7" s="1"/>
  <c r="Y11" i="3"/>
  <c r="W11" i="7" s="1"/>
  <c r="Y12" i="3"/>
  <c r="W12" i="7" s="1"/>
  <c r="Y13" i="3"/>
  <c r="W13" i="7" s="1"/>
  <c r="Y14" i="3"/>
  <c r="W14" i="7" s="1"/>
  <c r="Y15" i="3"/>
  <c r="W15" i="7" s="1"/>
  <c r="Y16" i="3"/>
  <c r="W16" i="7" s="1"/>
  <c r="Y17" i="3"/>
  <c r="W17" i="7" s="1"/>
  <c r="Y18" i="3"/>
  <c r="W18" i="7" s="1"/>
  <c r="Y19" i="3"/>
  <c r="W19" i="7" s="1"/>
  <c r="Y20" i="3"/>
  <c r="W20" i="7" s="1"/>
  <c r="Y21" i="3"/>
  <c r="W21" i="7" s="1"/>
  <c r="Y22" i="3"/>
  <c r="W22" i="7" s="1"/>
  <c r="Y23" i="3"/>
  <c r="W23" i="7" s="1"/>
  <c r="Y24" i="3"/>
  <c r="W24" i="7" s="1"/>
  <c r="Y25" i="3"/>
  <c r="W25" i="7" s="1"/>
  <c r="Y26" i="3"/>
  <c r="W26" i="7" s="1"/>
  <c r="Y27" i="3"/>
  <c r="W27" i="7" s="1"/>
  <c r="Y28" i="3"/>
  <c r="W28" i="7" s="1"/>
  <c r="Y29" i="3"/>
  <c r="W29" i="7" s="1"/>
  <c r="Y30" i="3"/>
  <c r="W30" i="7" s="1"/>
  <c r="Y31" i="3"/>
  <c r="W31" i="7" s="1"/>
  <c r="Y32" i="3"/>
  <c r="W32" i="7" s="1"/>
  <c r="Y33" i="3"/>
  <c r="W33" i="7" s="1"/>
  <c r="Y34" i="3"/>
  <c r="W34" i="7" s="1"/>
  <c r="Y35" i="3"/>
  <c r="W35" i="7" s="1"/>
  <c r="Y36" i="3"/>
  <c r="W36" i="7" s="1"/>
  <c r="Y37" i="3"/>
  <c r="W37" i="7" s="1"/>
  <c r="Y38" i="3"/>
  <c r="W38" i="7" s="1"/>
  <c r="Y39" i="3"/>
  <c r="W39" i="7" s="1"/>
  <c r="Y40" i="3"/>
  <c r="W40" i="7" s="1"/>
  <c r="Y41" i="3"/>
  <c r="W41" i="7" s="1"/>
  <c r="Y42" i="3"/>
  <c r="W42" i="7" s="1"/>
  <c r="Y43" i="3"/>
  <c r="W43" i="7" s="1"/>
  <c r="Y44" i="3"/>
  <c r="W44" i="7" s="1"/>
  <c r="Y45" i="3"/>
  <c r="W45" i="7" s="1"/>
  <c r="Y46" i="3"/>
  <c r="W46" i="7" s="1"/>
  <c r="Y47" i="3"/>
  <c r="W47" i="7" s="1"/>
  <c r="Y48" i="3"/>
  <c r="W48" i="7" s="1"/>
  <c r="Y49" i="3"/>
  <c r="W49" i="7" s="1"/>
  <c r="Y50" i="3"/>
  <c r="W50" i="7" s="1"/>
  <c r="Y51" i="3"/>
  <c r="W51" i="7" s="1"/>
  <c r="V4" i="3"/>
  <c r="V5" i="3"/>
  <c r="V6" i="3"/>
  <c r="T6" i="7" s="1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3" i="3"/>
  <c r="AC67" i="4" l="1"/>
  <c r="V67" i="9"/>
  <c r="X66" i="7"/>
  <c r="V66" i="9"/>
  <c r="AC66" i="4"/>
  <c r="X63" i="7"/>
  <c r="AC63" i="4"/>
  <c r="V63" i="9"/>
  <c r="X62" i="7"/>
  <c r="V62" i="9"/>
  <c r="AC62" i="4"/>
  <c r="AC57" i="4"/>
  <c r="V57" i="9"/>
  <c r="X54" i="7"/>
  <c r="V54" i="9"/>
  <c r="AC54" i="4"/>
  <c r="R53" i="7"/>
  <c r="S53" i="9"/>
  <c r="R60" i="7"/>
  <c r="S60" i="9"/>
  <c r="W67" i="4"/>
  <c r="S67" i="9"/>
  <c r="R59" i="7"/>
  <c r="S59" i="9"/>
  <c r="R63" i="7"/>
  <c r="S63" i="9"/>
  <c r="T49" i="7"/>
  <c r="T41" i="7"/>
  <c r="T37" i="7"/>
  <c r="T33" i="7"/>
  <c r="T25" i="7"/>
  <c r="T21" i="7"/>
  <c r="T13" i="7"/>
  <c r="T5" i="7"/>
  <c r="T48" i="7"/>
  <c r="T44" i="7"/>
  <c r="T36" i="7"/>
  <c r="T32" i="7"/>
  <c r="T28" i="7"/>
  <c r="T20" i="7"/>
  <c r="T12" i="7"/>
  <c r="T8" i="7"/>
  <c r="T51" i="7"/>
  <c r="T47" i="7"/>
  <c r="T43" i="7"/>
  <c r="T39" i="7"/>
  <c r="T35" i="7"/>
  <c r="T31" i="7"/>
  <c r="T27" i="7"/>
  <c r="T23" i="7"/>
  <c r="T19" i="7"/>
  <c r="T15" i="7"/>
  <c r="T11" i="7"/>
  <c r="T7" i="7"/>
  <c r="T45" i="7"/>
  <c r="T29" i="7"/>
  <c r="T17" i="7"/>
  <c r="T9" i="7"/>
  <c r="T3" i="7"/>
  <c r="W3" i="3"/>
  <c r="T40" i="7"/>
  <c r="T24" i="7"/>
  <c r="T16" i="7"/>
  <c r="T4" i="7"/>
  <c r="T50" i="7"/>
  <c r="T46" i="7"/>
  <c r="T42" i="7"/>
  <c r="T38" i="7"/>
  <c r="T34" i="7"/>
  <c r="T30" i="7"/>
  <c r="T26" i="7"/>
  <c r="T22" i="7"/>
  <c r="T18" i="7"/>
  <c r="T14" i="7"/>
  <c r="T10" i="7"/>
  <c r="R67" i="7"/>
  <c r="AB66" i="4"/>
  <c r="AB54" i="4"/>
  <c r="AB63" i="4"/>
  <c r="X67" i="7"/>
  <c r="AB67" i="4"/>
  <c r="W65" i="4"/>
  <c r="R65" i="7"/>
  <c r="R64" i="7"/>
  <c r="W64" i="4"/>
  <c r="W66" i="4"/>
  <c r="R66" i="7"/>
  <c r="W61" i="4"/>
  <c r="R61" i="7"/>
  <c r="W62" i="4"/>
  <c r="R62" i="7"/>
  <c r="AB62" i="4"/>
  <c r="W59" i="4"/>
  <c r="X57" i="7"/>
  <c r="AB57" i="4"/>
  <c r="W53" i="4"/>
  <c r="R58" i="7"/>
  <c r="W58" i="4"/>
  <c r="R52" i="7"/>
  <c r="W52" i="4"/>
  <c r="R56" i="7"/>
  <c r="W56" i="4"/>
  <c r="W60" i="4"/>
  <c r="R55" i="7"/>
  <c r="W55" i="4"/>
  <c r="R54" i="7"/>
  <c r="W54" i="4"/>
  <c r="W63" i="4"/>
  <c r="R57" i="7"/>
  <c r="W57" i="4"/>
  <c r="K51" i="7"/>
  <c r="J51" i="7"/>
  <c r="I51" i="7"/>
  <c r="H51" i="7"/>
  <c r="G51" i="7"/>
  <c r="F51" i="7"/>
  <c r="E51" i="7"/>
  <c r="C51" i="7"/>
  <c r="B51" i="7"/>
  <c r="A51" i="7"/>
  <c r="K50" i="7"/>
  <c r="J50" i="7"/>
  <c r="I50" i="7"/>
  <c r="H50" i="7"/>
  <c r="G50" i="7"/>
  <c r="F50" i="7"/>
  <c r="E50" i="7"/>
  <c r="C50" i="7"/>
  <c r="B50" i="7"/>
  <c r="A50" i="7"/>
  <c r="K49" i="7"/>
  <c r="J49" i="7"/>
  <c r="I49" i="7"/>
  <c r="H49" i="7"/>
  <c r="G49" i="7"/>
  <c r="F49" i="7"/>
  <c r="E49" i="7"/>
  <c r="C49" i="7"/>
  <c r="B49" i="7"/>
  <c r="A49" i="7"/>
  <c r="K48" i="7"/>
  <c r="J48" i="7"/>
  <c r="I48" i="7"/>
  <c r="H48" i="7"/>
  <c r="G48" i="7"/>
  <c r="F48" i="7"/>
  <c r="E48" i="7"/>
  <c r="C48" i="7"/>
  <c r="B48" i="7"/>
  <c r="A48" i="7"/>
  <c r="K47" i="7"/>
  <c r="J47" i="7"/>
  <c r="I47" i="7"/>
  <c r="H47" i="7"/>
  <c r="G47" i="7"/>
  <c r="F47" i="7"/>
  <c r="E47" i="7"/>
  <c r="C47" i="7"/>
  <c r="B47" i="7"/>
  <c r="A47" i="7"/>
  <c r="K46" i="7"/>
  <c r="J46" i="7"/>
  <c r="I46" i="7"/>
  <c r="H46" i="7"/>
  <c r="G46" i="7"/>
  <c r="F46" i="7"/>
  <c r="E46" i="7"/>
  <c r="C46" i="7"/>
  <c r="B46" i="7"/>
  <c r="A46" i="7"/>
  <c r="K45" i="7"/>
  <c r="J45" i="7"/>
  <c r="I45" i="7"/>
  <c r="H45" i="7"/>
  <c r="G45" i="7"/>
  <c r="F45" i="7"/>
  <c r="E45" i="7"/>
  <c r="C45" i="7"/>
  <c r="B45" i="7"/>
  <c r="A45" i="7"/>
  <c r="K44" i="7"/>
  <c r="J44" i="7"/>
  <c r="I44" i="7"/>
  <c r="H44" i="7"/>
  <c r="G44" i="7"/>
  <c r="F44" i="7"/>
  <c r="E44" i="7"/>
  <c r="C44" i="7"/>
  <c r="B44" i="7"/>
  <c r="A44" i="7"/>
  <c r="K43" i="7"/>
  <c r="J43" i="7"/>
  <c r="I43" i="7"/>
  <c r="H43" i="7"/>
  <c r="G43" i="7"/>
  <c r="F43" i="7"/>
  <c r="E43" i="7"/>
  <c r="C43" i="7"/>
  <c r="B43" i="7"/>
  <c r="A43" i="7"/>
  <c r="K42" i="7"/>
  <c r="J42" i="7"/>
  <c r="I42" i="7"/>
  <c r="H42" i="7"/>
  <c r="G42" i="7"/>
  <c r="F42" i="7"/>
  <c r="E42" i="7"/>
  <c r="C42" i="7"/>
  <c r="B42" i="7"/>
  <c r="A42" i="7"/>
  <c r="K41" i="7"/>
  <c r="J41" i="7"/>
  <c r="I41" i="7"/>
  <c r="H41" i="7"/>
  <c r="G41" i="7"/>
  <c r="F41" i="7"/>
  <c r="E41" i="7"/>
  <c r="C41" i="7"/>
  <c r="B41" i="7"/>
  <c r="A41" i="7"/>
  <c r="K40" i="7"/>
  <c r="J40" i="7"/>
  <c r="I40" i="7"/>
  <c r="H40" i="7"/>
  <c r="G40" i="7"/>
  <c r="F40" i="7"/>
  <c r="E40" i="7"/>
  <c r="C40" i="7"/>
  <c r="B40" i="7"/>
  <c r="A40" i="7"/>
  <c r="K39" i="7"/>
  <c r="J39" i="7"/>
  <c r="I39" i="7"/>
  <c r="H39" i="7"/>
  <c r="G39" i="7"/>
  <c r="F39" i="7"/>
  <c r="E39" i="7"/>
  <c r="C39" i="7"/>
  <c r="B39" i="7"/>
  <c r="A39" i="7"/>
  <c r="K38" i="7"/>
  <c r="J38" i="7"/>
  <c r="I38" i="7"/>
  <c r="H38" i="7"/>
  <c r="G38" i="7"/>
  <c r="F38" i="7"/>
  <c r="E38" i="7"/>
  <c r="C38" i="7"/>
  <c r="B38" i="7"/>
  <c r="A38" i="7"/>
  <c r="K37" i="7"/>
  <c r="J37" i="7"/>
  <c r="I37" i="7"/>
  <c r="H37" i="7"/>
  <c r="G37" i="7"/>
  <c r="F37" i="7"/>
  <c r="E37" i="7"/>
  <c r="C37" i="7"/>
  <c r="B37" i="7"/>
  <c r="A37" i="7"/>
  <c r="K36" i="7"/>
  <c r="J36" i="7"/>
  <c r="I36" i="7"/>
  <c r="H36" i="7"/>
  <c r="G36" i="7"/>
  <c r="F36" i="7"/>
  <c r="E36" i="7"/>
  <c r="C36" i="7"/>
  <c r="B36" i="7"/>
  <c r="A36" i="7"/>
  <c r="K35" i="7"/>
  <c r="J35" i="7"/>
  <c r="I35" i="7"/>
  <c r="H35" i="7"/>
  <c r="G35" i="7"/>
  <c r="F35" i="7"/>
  <c r="E35" i="7"/>
  <c r="C35" i="7"/>
  <c r="B35" i="7"/>
  <c r="A35" i="7"/>
  <c r="F35" i="4" s="1"/>
  <c r="K34" i="7"/>
  <c r="J34" i="7"/>
  <c r="I34" i="7"/>
  <c r="H34" i="7"/>
  <c r="G34" i="7"/>
  <c r="F34" i="7"/>
  <c r="E34" i="7"/>
  <c r="C34" i="7"/>
  <c r="B34" i="7"/>
  <c r="A34" i="7"/>
  <c r="F34" i="4" s="1"/>
  <c r="K33" i="7"/>
  <c r="J33" i="7"/>
  <c r="I33" i="7"/>
  <c r="H33" i="7"/>
  <c r="G33" i="7"/>
  <c r="F33" i="7"/>
  <c r="E33" i="7"/>
  <c r="C33" i="7"/>
  <c r="B33" i="7"/>
  <c r="A33" i="7"/>
  <c r="F33" i="4" s="1"/>
  <c r="K32" i="7"/>
  <c r="J32" i="7"/>
  <c r="I32" i="7"/>
  <c r="H32" i="7"/>
  <c r="G32" i="7"/>
  <c r="F32" i="7"/>
  <c r="E32" i="7"/>
  <c r="C32" i="7"/>
  <c r="B32" i="7"/>
  <c r="A32" i="7"/>
  <c r="F32" i="4" s="1"/>
  <c r="K31" i="7"/>
  <c r="J31" i="7"/>
  <c r="I31" i="7"/>
  <c r="H31" i="7"/>
  <c r="G31" i="7"/>
  <c r="F31" i="7"/>
  <c r="E31" i="7"/>
  <c r="C31" i="7"/>
  <c r="B31" i="7"/>
  <c r="A31" i="7"/>
  <c r="F31" i="4" s="1"/>
  <c r="K30" i="7"/>
  <c r="J30" i="7"/>
  <c r="I30" i="7"/>
  <c r="H30" i="7"/>
  <c r="G30" i="7"/>
  <c r="F30" i="7"/>
  <c r="E30" i="7"/>
  <c r="C30" i="7"/>
  <c r="B30" i="7"/>
  <c r="A30" i="7"/>
  <c r="F30" i="4" s="1"/>
  <c r="K29" i="7"/>
  <c r="J29" i="7"/>
  <c r="I29" i="7"/>
  <c r="H29" i="7"/>
  <c r="G29" i="7"/>
  <c r="F29" i="7"/>
  <c r="E29" i="7"/>
  <c r="C29" i="7"/>
  <c r="B29" i="7"/>
  <c r="A29" i="7"/>
  <c r="F29" i="4" s="1"/>
  <c r="K28" i="7"/>
  <c r="J28" i="7"/>
  <c r="I28" i="7"/>
  <c r="H28" i="7"/>
  <c r="G28" i="7"/>
  <c r="F28" i="7"/>
  <c r="E28" i="7"/>
  <c r="C28" i="7"/>
  <c r="B28" i="7"/>
  <c r="A28" i="7"/>
  <c r="F28" i="4" s="1"/>
  <c r="K27" i="7"/>
  <c r="J27" i="7"/>
  <c r="I27" i="7"/>
  <c r="H27" i="7"/>
  <c r="G27" i="7"/>
  <c r="F27" i="7"/>
  <c r="E27" i="7"/>
  <c r="C27" i="7"/>
  <c r="B27" i="7"/>
  <c r="A27" i="7"/>
  <c r="F27" i="4" s="1"/>
  <c r="K26" i="7"/>
  <c r="J26" i="7"/>
  <c r="I26" i="7"/>
  <c r="H26" i="7"/>
  <c r="G26" i="7"/>
  <c r="F26" i="7"/>
  <c r="E26" i="7"/>
  <c r="C26" i="7"/>
  <c r="B26" i="7"/>
  <c r="A26" i="7"/>
  <c r="F26" i="4" s="1"/>
  <c r="K25" i="7"/>
  <c r="J25" i="7"/>
  <c r="I25" i="7"/>
  <c r="H25" i="7"/>
  <c r="G25" i="7"/>
  <c r="F25" i="7"/>
  <c r="E25" i="7"/>
  <c r="C25" i="7"/>
  <c r="B25" i="7"/>
  <c r="A25" i="7"/>
  <c r="F25" i="4" s="1"/>
  <c r="K24" i="7"/>
  <c r="J24" i="7"/>
  <c r="I24" i="7"/>
  <c r="H24" i="7"/>
  <c r="G24" i="7"/>
  <c r="F24" i="7"/>
  <c r="E24" i="7"/>
  <c r="C24" i="7"/>
  <c r="B24" i="7"/>
  <c r="A24" i="7"/>
  <c r="F24" i="4" s="1"/>
  <c r="K23" i="7"/>
  <c r="J23" i="7"/>
  <c r="I23" i="7"/>
  <c r="H23" i="7"/>
  <c r="G23" i="7"/>
  <c r="F23" i="7"/>
  <c r="E23" i="7"/>
  <c r="C23" i="7"/>
  <c r="B23" i="7"/>
  <c r="A23" i="7"/>
  <c r="F23" i="4" s="1"/>
  <c r="K22" i="7"/>
  <c r="J22" i="7"/>
  <c r="I22" i="7"/>
  <c r="H22" i="7"/>
  <c r="G22" i="7"/>
  <c r="F22" i="7"/>
  <c r="E22" i="7"/>
  <c r="C22" i="7"/>
  <c r="B22" i="7"/>
  <c r="A22" i="7"/>
  <c r="F22" i="4" s="1"/>
  <c r="K21" i="7"/>
  <c r="J21" i="7"/>
  <c r="I21" i="7"/>
  <c r="H21" i="7"/>
  <c r="G21" i="7"/>
  <c r="F21" i="7"/>
  <c r="E21" i="7"/>
  <c r="C21" i="7"/>
  <c r="B21" i="7"/>
  <c r="A21" i="7"/>
  <c r="F21" i="4" s="1"/>
  <c r="K20" i="7"/>
  <c r="J20" i="7"/>
  <c r="I20" i="7"/>
  <c r="H20" i="7"/>
  <c r="G20" i="7"/>
  <c r="F20" i="7"/>
  <c r="E20" i="7"/>
  <c r="C20" i="7"/>
  <c r="B20" i="7"/>
  <c r="A20" i="7"/>
  <c r="F20" i="4" s="1"/>
  <c r="K19" i="7"/>
  <c r="J19" i="7"/>
  <c r="I19" i="7"/>
  <c r="H19" i="7"/>
  <c r="G19" i="7"/>
  <c r="F19" i="7"/>
  <c r="E19" i="7"/>
  <c r="C19" i="7"/>
  <c r="B19" i="7"/>
  <c r="A19" i="7"/>
  <c r="F19" i="4" s="1"/>
  <c r="K18" i="7"/>
  <c r="J18" i="7"/>
  <c r="I18" i="7"/>
  <c r="H18" i="7"/>
  <c r="G18" i="7"/>
  <c r="F18" i="7"/>
  <c r="E18" i="7"/>
  <c r="C18" i="7"/>
  <c r="B18" i="7"/>
  <c r="A18" i="7"/>
  <c r="F18" i="4" s="1"/>
  <c r="K17" i="7"/>
  <c r="J17" i="7"/>
  <c r="I17" i="7"/>
  <c r="H17" i="7"/>
  <c r="G17" i="7"/>
  <c r="F17" i="7"/>
  <c r="E17" i="7"/>
  <c r="C17" i="7"/>
  <c r="B17" i="7"/>
  <c r="A17" i="7"/>
  <c r="F17" i="4" s="1"/>
  <c r="K16" i="7"/>
  <c r="J16" i="7"/>
  <c r="I16" i="7"/>
  <c r="H16" i="7"/>
  <c r="G16" i="7"/>
  <c r="F16" i="7"/>
  <c r="E16" i="7"/>
  <c r="C16" i="7"/>
  <c r="B16" i="7"/>
  <c r="A16" i="7"/>
  <c r="F16" i="4" s="1"/>
  <c r="K15" i="7"/>
  <c r="J15" i="7"/>
  <c r="I15" i="7"/>
  <c r="H15" i="7"/>
  <c r="G15" i="7"/>
  <c r="F15" i="7"/>
  <c r="E15" i="7"/>
  <c r="C15" i="7"/>
  <c r="B15" i="7"/>
  <c r="A15" i="7"/>
  <c r="F15" i="4" s="1"/>
  <c r="K14" i="7"/>
  <c r="J14" i="7"/>
  <c r="I14" i="7"/>
  <c r="H14" i="7"/>
  <c r="G14" i="7"/>
  <c r="F14" i="7"/>
  <c r="E14" i="7"/>
  <c r="C14" i="7"/>
  <c r="B14" i="7"/>
  <c r="A14" i="7"/>
  <c r="F14" i="4" s="1"/>
  <c r="K13" i="7"/>
  <c r="J13" i="7"/>
  <c r="I13" i="7"/>
  <c r="H13" i="7"/>
  <c r="G13" i="7"/>
  <c r="F13" i="7"/>
  <c r="E13" i="7"/>
  <c r="C13" i="7"/>
  <c r="B13" i="7"/>
  <c r="A13" i="7"/>
  <c r="F13" i="4" s="1"/>
  <c r="K12" i="7"/>
  <c r="J12" i="7"/>
  <c r="I12" i="7"/>
  <c r="H12" i="7"/>
  <c r="G12" i="7"/>
  <c r="F12" i="7"/>
  <c r="E12" i="7"/>
  <c r="C12" i="7"/>
  <c r="B12" i="7"/>
  <c r="A12" i="7"/>
  <c r="F12" i="4" s="1"/>
  <c r="K11" i="7"/>
  <c r="J11" i="7"/>
  <c r="I11" i="7"/>
  <c r="H11" i="7"/>
  <c r="G11" i="7"/>
  <c r="F11" i="7"/>
  <c r="E11" i="7"/>
  <c r="C11" i="7"/>
  <c r="B11" i="7"/>
  <c r="A11" i="7"/>
  <c r="F11" i="4" s="1"/>
  <c r="K10" i="7"/>
  <c r="J10" i="7"/>
  <c r="I10" i="7"/>
  <c r="H10" i="7"/>
  <c r="G10" i="7"/>
  <c r="F10" i="7"/>
  <c r="E10" i="7"/>
  <c r="C10" i="7"/>
  <c r="B10" i="7"/>
  <c r="A10" i="7"/>
  <c r="F10" i="4" s="1"/>
  <c r="K9" i="7"/>
  <c r="J9" i="7"/>
  <c r="I9" i="7"/>
  <c r="H9" i="7"/>
  <c r="G9" i="7"/>
  <c r="F9" i="7"/>
  <c r="E9" i="7"/>
  <c r="C9" i="7"/>
  <c r="B9" i="7"/>
  <c r="A9" i="7"/>
  <c r="F9" i="4" s="1"/>
  <c r="K8" i="7"/>
  <c r="J8" i="7"/>
  <c r="I8" i="7"/>
  <c r="H8" i="7"/>
  <c r="G8" i="7"/>
  <c r="F8" i="7"/>
  <c r="E8" i="7"/>
  <c r="C8" i="7"/>
  <c r="B8" i="7"/>
  <c r="A8" i="7"/>
  <c r="F8" i="4" s="1"/>
  <c r="K7" i="7"/>
  <c r="J7" i="7"/>
  <c r="I7" i="7"/>
  <c r="H7" i="7"/>
  <c r="G7" i="7"/>
  <c r="F7" i="7"/>
  <c r="E7" i="7"/>
  <c r="C7" i="7"/>
  <c r="B7" i="7"/>
  <c r="A7" i="7"/>
  <c r="F7" i="4" s="1"/>
  <c r="K6" i="7"/>
  <c r="J6" i="7"/>
  <c r="I6" i="7"/>
  <c r="H6" i="7"/>
  <c r="G6" i="7"/>
  <c r="F6" i="7"/>
  <c r="E6" i="7"/>
  <c r="C6" i="7"/>
  <c r="B6" i="7"/>
  <c r="A6" i="7"/>
  <c r="F6" i="4" s="1"/>
  <c r="K5" i="7"/>
  <c r="J5" i="7"/>
  <c r="I5" i="7"/>
  <c r="H5" i="7"/>
  <c r="G5" i="7"/>
  <c r="F5" i="7"/>
  <c r="E5" i="7"/>
  <c r="C5" i="7"/>
  <c r="B5" i="7"/>
  <c r="A5" i="7"/>
  <c r="F5" i="4" s="1"/>
  <c r="K4" i="7"/>
  <c r="J4" i="7"/>
  <c r="I4" i="7"/>
  <c r="H4" i="7"/>
  <c r="G4" i="7"/>
  <c r="F4" i="7"/>
  <c r="E4" i="7"/>
  <c r="C4" i="7"/>
  <c r="B4" i="7"/>
  <c r="A4" i="7"/>
  <c r="F4" i="4" s="1"/>
  <c r="P3" i="7"/>
  <c r="O3" i="7"/>
  <c r="N3" i="7"/>
  <c r="M3" i="7"/>
  <c r="K3" i="7"/>
  <c r="J3" i="7"/>
  <c r="I3" i="7"/>
  <c r="H3" i="7"/>
  <c r="G3" i="7"/>
  <c r="F3" i="7"/>
  <c r="E3" i="7"/>
  <c r="C3" i="7"/>
  <c r="B3" i="7"/>
  <c r="A3" i="7"/>
  <c r="U3" i="7" l="1"/>
  <c r="Z3" i="4"/>
  <c r="D3" i="7"/>
  <c r="F3" i="4"/>
  <c r="D39" i="7"/>
  <c r="F39" i="4"/>
  <c r="D45" i="7"/>
  <c r="F45" i="4"/>
  <c r="D51" i="7"/>
  <c r="F51" i="4"/>
  <c r="D36" i="7"/>
  <c r="F36" i="4"/>
  <c r="D38" i="7"/>
  <c r="F38" i="4"/>
  <c r="D40" i="7"/>
  <c r="F40" i="4"/>
  <c r="D42" i="7"/>
  <c r="F42" i="4"/>
  <c r="D44" i="7"/>
  <c r="F44" i="4"/>
  <c r="D46" i="7"/>
  <c r="F46" i="4"/>
  <c r="D48" i="7"/>
  <c r="F48" i="4"/>
  <c r="D50" i="7"/>
  <c r="F50" i="4"/>
  <c r="D37" i="7"/>
  <c r="F37" i="4"/>
  <c r="D41" i="7"/>
  <c r="F41" i="4"/>
  <c r="D43" i="7"/>
  <c r="F43" i="4"/>
  <c r="D47" i="7"/>
  <c r="F47" i="4"/>
  <c r="D49" i="7"/>
  <c r="F49" i="4"/>
  <c r="D6" i="7"/>
  <c r="D13" i="7"/>
  <c r="D8" i="7"/>
  <c r="D12" i="7"/>
  <c r="D15" i="7"/>
  <c r="D27" i="7"/>
  <c r="D35" i="7"/>
  <c r="D24" i="7"/>
  <c r="D10" i="7"/>
  <c r="D17" i="7"/>
  <c r="D21" i="7"/>
  <c r="D25" i="7"/>
  <c r="D29" i="7"/>
  <c r="D33" i="7"/>
  <c r="D4" i="7"/>
  <c r="D7" i="7"/>
  <c r="D11" i="7"/>
  <c r="D14" i="7"/>
  <c r="D18" i="7"/>
  <c r="D22" i="7"/>
  <c r="D26" i="7"/>
  <c r="D30" i="7"/>
  <c r="D34" i="7"/>
  <c r="D5" i="7"/>
  <c r="D31" i="7"/>
  <c r="D19" i="7"/>
  <c r="D23" i="7"/>
  <c r="D9" i="7"/>
  <c r="D16" i="7"/>
  <c r="D20" i="7"/>
  <c r="D28" i="7"/>
  <c r="D32" i="7"/>
  <c r="Q3" i="7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X51" i="7" l="1"/>
  <c r="AC51" i="4"/>
  <c r="V51" i="9"/>
  <c r="X50" i="7"/>
  <c r="V50" i="9"/>
  <c r="AC50" i="4"/>
  <c r="X49" i="7"/>
  <c r="AC49" i="4"/>
  <c r="V49" i="9"/>
  <c r="X48" i="7"/>
  <c r="V48" i="9"/>
  <c r="AC48" i="4"/>
  <c r="X47" i="7"/>
  <c r="AC47" i="4"/>
  <c r="V47" i="9"/>
  <c r="X46" i="7"/>
  <c r="AC46" i="4"/>
  <c r="V46" i="9"/>
  <c r="X45" i="7"/>
  <c r="AC45" i="4"/>
  <c r="V45" i="9"/>
  <c r="X44" i="7"/>
  <c r="AC44" i="4"/>
  <c r="V44" i="9"/>
  <c r="X43" i="7"/>
  <c r="AC43" i="4"/>
  <c r="V43" i="9"/>
  <c r="X42" i="7"/>
  <c r="AC42" i="4"/>
  <c r="V42" i="9"/>
  <c r="X41" i="7"/>
  <c r="AC41" i="4"/>
  <c r="V41" i="9"/>
  <c r="X40" i="7"/>
  <c r="AC40" i="4"/>
  <c r="V40" i="9"/>
  <c r="X39" i="7"/>
  <c r="AC39" i="4"/>
  <c r="V39" i="9"/>
  <c r="X38" i="7"/>
  <c r="AC38" i="4"/>
  <c r="V38" i="9"/>
  <c r="X37" i="7"/>
  <c r="AC37" i="4"/>
  <c r="V37" i="9"/>
  <c r="X36" i="7"/>
  <c r="AC36" i="4"/>
  <c r="V36" i="9"/>
  <c r="X35" i="7"/>
  <c r="AC35" i="4"/>
  <c r="V35" i="9"/>
  <c r="X34" i="7"/>
  <c r="AC34" i="4"/>
  <c r="V34" i="9"/>
  <c r="X33" i="7"/>
  <c r="AC33" i="4"/>
  <c r="V33" i="9"/>
  <c r="X32" i="7"/>
  <c r="AC32" i="4"/>
  <c r="V32" i="9"/>
  <c r="X31" i="7"/>
  <c r="AC31" i="4"/>
  <c r="V31" i="9"/>
  <c r="X30" i="7"/>
  <c r="AC30" i="4"/>
  <c r="V30" i="9"/>
  <c r="X29" i="7"/>
  <c r="AC29" i="4"/>
  <c r="V29" i="9"/>
  <c r="X28" i="7"/>
  <c r="AC28" i="4"/>
  <c r="V28" i="9"/>
  <c r="X27" i="7"/>
  <c r="AC27" i="4"/>
  <c r="V27" i="9"/>
  <c r="X26" i="7"/>
  <c r="AC26" i="4"/>
  <c r="V26" i="9"/>
  <c r="X25" i="7"/>
  <c r="AC25" i="4"/>
  <c r="V25" i="9"/>
  <c r="X24" i="7"/>
  <c r="AC24" i="4"/>
  <c r="V24" i="9"/>
  <c r="X23" i="7"/>
  <c r="AC23" i="4"/>
  <c r="V23" i="9"/>
  <c r="X22" i="7"/>
  <c r="V22" i="9"/>
  <c r="AC22" i="4"/>
  <c r="X21" i="7"/>
  <c r="AC21" i="4"/>
  <c r="V21" i="9"/>
  <c r="X20" i="7"/>
  <c r="AC20" i="4"/>
  <c r="V20" i="9"/>
  <c r="X19" i="7"/>
  <c r="AC19" i="4"/>
  <c r="V19" i="9"/>
  <c r="X18" i="7"/>
  <c r="AC18" i="4"/>
  <c r="V18" i="9"/>
  <c r="X17" i="7"/>
  <c r="AC17" i="4"/>
  <c r="V17" i="9"/>
  <c r="X16" i="7"/>
  <c r="AC16" i="4"/>
  <c r="V16" i="9"/>
  <c r="X15" i="7"/>
  <c r="V15" i="9"/>
  <c r="AC15" i="4"/>
  <c r="X14" i="7"/>
  <c r="AC14" i="4"/>
  <c r="V14" i="9"/>
  <c r="X13" i="7"/>
  <c r="V13" i="9"/>
  <c r="AC13" i="4"/>
  <c r="X12" i="7"/>
  <c r="V12" i="9"/>
  <c r="AC12" i="4"/>
  <c r="X11" i="7"/>
  <c r="AC11" i="4"/>
  <c r="V11" i="9"/>
  <c r="X10" i="7"/>
  <c r="AC10" i="4"/>
  <c r="V10" i="9"/>
  <c r="X9" i="7"/>
  <c r="AC9" i="4"/>
  <c r="V9" i="9"/>
  <c r="X8" i="7"/>
  <c r="AC8" i="4"/>
  <c r="V8" i="9"/>
  <c r="X7" i="7"/>
  <c r="AC7" i="4"/>
  <c r="V7" i="9"/>
  <c r="X6" i="7"/>
  <c r="AC6" i="4"/>
  <c r="V6" i="9"/>
  <c r="X5" i="7"/>
  <c r="AC5" i="4"/>
  <c r="V5" i="9"/>
  <c r="X4" i="7"/>
  <c r="V4" i="9"/>
  <c r="AC4" i="4"/>
  <c r="X3" i="7"/>
  <c r="AC3" i="4"/>
  <c r="V3" i="9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G4" i="3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A51" i="3"/>
  <c r="A51" i="9" s="1"/>
  <c r="B51" i="3"/>
  <c r="C51" i="3"/>
  <c r="C51" i="9" s="1"/>
  <c r="D51" i="3"/>
  <c r="D51" i="9" s="1"/>
  <c r="F51" i="3"/>
  <c r="G51" i="3"/>
  <c r="H51" i="3"/>
  <c r="I51" i="3"/>
  <c r="J51" i="3"/>
  <c r="J51" i="9" s="1"/>
  <c r="K51" i="3"/>
  <c r="L51" i="3"/>
  <c r="M51" i="3"/>
  <c r="K51" i="9" s="1"/>
  <c r="N51" i="3"/>
  <c r="O51" i="3"/>
  <c r="M51" i="9" s="1"/>
  <c r="P51" i="3"/>
  <c r="N51" i="9" s="1"/>
  <c r="Q51" i="3"/>
  <c r="O51" i="9" s="1"/>
  <c r="R51" i="3"/>
  <c r="I13" i="3"/>
  <c r="E51" i="3" l="1"/>
  <c r="B51" i="9"/>
  <c r="P51" i="9"/>
  <c r="Q51" i="9"/>
  <c r="W51" i="3"/>
  <c r="U51" i="7" s="1"/>
  <c r="L51" i="9"/>
  <c r="S51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Q3" i="3"/>
  <c r="Q4" i="3"/>
  <c r="Q5" i="3"/>
  <c r="Q6" i="3"/>
  <c r="Q7" i="3"/>
  <c r="Q8" i="3"/>
  <c r="Q9" i="3"/>
  <c r="O9" i="9" s="1"/>
  <c r="Q10" i="3"/>
  <c r="Q11" i="3"/>
  <c r="Q12" i="3"/>
  <c r="Q13" i="3"/>
  <c r="O13" i="9" s="1"/>
  <c r="Q14" i="3"/>
  <c r="Q15" i="3"/>
  <c r="Q16" i="3"/>
  <c r="Q17" i="3"/>
  <c r="O17" i="9" s="1"/>
  <c r="Q18" i="3"/>
  <c r="Q19" i="3"/>
  <c r="Q20" i="3"/>
  <c r="Q21" i="3"/>
  <c r="O21" i="9" s="1"/>
  <c r="Q22" i="3"/>
  <c r="Q23" i="3"/>
  <c r="Q24" i="3"/>
  <c r="Q25" i="3"/>
  <c r="O25" i="9" s="1"/>
  <c r="Q26" i="3"/>
  <c r="Q27" i="3"/>
  <c r="Q28" i="3"/>
  <c r="Q29" i="3"/>
  <c r="O29" i="9" s="1"/>
  <c r="Q30" i="3"/>
  <c r="Q31" i="3"/>
  <c r="Q32" i="3"/>
  <c r="Q33" i="3"/>
  <c r="O33" i="9" s="1"/>
  <c r="Q34" i="3"/>
  <c r="Q35" i="3"/>
  <c r="Q36" i="3"/>
  <c r="Q37" i="3"/>
  <c r="O37" i="9" s="1"/>
  <c r="Q38" i="3"/>
  <c r="Q39" i="3"/>
  <c r="O39" i="9" s="1"/>
  <c r="Q40" i="3"/>
  <c r="Q41" i="3"/>
  <c r="O41" i="9" s="1"/>
  <c r="Q42" i="3"/>
  <c r="Q43" i="3"/>
  <c r="O43" i="9" s="1"/>
  <c r="Q44" i="3"/>
  <c r="Q45" i="3"/>
  <c r="O45" i="9" s="1"/>
  <c r="Q46" i="3"/>
  <c r="Q47" i="3"/>
  <c r="O47" i="9" s="1"/>
  <c r="Q48" i="3"/>
  <c r="Q49" i="3"/>
  <c r="O49" i="9" s="1"/>
  <c r="Q50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N37" i="9" s="1"/>
  <c r="P38" i="3"/>
  <c r="N38" i="9" s="1"/>
  <c r="P39" i="3"/>
  <c r="N39" i="9" s="1"/>
  <c r="P40" i="3"/>
  <c r="P41" i="3"/>
  <c r="N41" i="9" s="1"/>
  <c r="P42" i="3"/>
  <c r="N42" i="9" s="1"/>
  <c r="P43" i="3"/>
  <c r="N43" i="9" s="1"/>
  <c r="P44" i="3"/>
  <c r="P45" i="3"/>
  <c r="N45" i="9" s="1"/>
  <c r="P46" i="3"/>
  <c r="P47" i="3"/>
  <c r="N47" i="9" s="1"/>
  <c r="P48" i="3"/>
  <c r="P49" i="3"/>
  <c r="N49" i="9" s="1"/>
  <c r="P50" i="3"/>
  <c r="O3" i="3"/>
  <c r="O4" i="3"/>
  <c r="M4" i="9" s="1"/>
  <c r="O5" i="3"/>
  <c r="M5" i="9" s="1"/>
  <c r="O6" i="3"/>
  <c r="O7" i="3"/>
  <c r="M7" i="9" s="1"/>
  <c r="O8" i="3"/>
  <c r="M8" i="9" s="1"/>
  <c r="O9" i="3"/>
  <c r="M9" i="9" s="1"/>
  <c r="O10" i="3"/>
  <c r="O11" i="3"/>
  <c r="M11" i="9" s="1"/>
  <c r="O12" i="3"/>
  <c r="O13" i="3"/>
  <c r="M13" i="9" s="1"/>
  <c r="O14" i="3"/>
  <c r="O15" i="3"/>
  <c r="M15" i="9" s="1"/>
  <c r="O16" i="3"/>
  <c r="O17" i="3"/>
  <c r="M17" i="9" s="1"/>
  <c r="O18" i="3"/>
  <c r="O19" i="3"/>
  <c r="M19" i="9" s="1"/>
  <c r="O20" i="3"/>
  <c r="O21" i="3"/>
  <c r="M21" i="9" s="1"/>
  <c r="O22" i="3"/>
  <c r="O23" i="3"/>
  <c r="M23" i="9" s="1"/>
  <c r="O24" i="3"/>
  <c r="O25" i="3"/>
  <c r="M25" i="9" s="1"/>
  <c r="O26" i="3"/>
  <c r="O27" i="3"/>
  <c r="M27" i="9" s="1"/>
  <c r="O28" i="3"/>
  <c r="M28" i="9" s="1"/>
  <c r="O29" i="3"/>
  <c r="M29" i="9" s="1"/>
  <c r="O30" i="3"/>
  <c r="O31" i="3"/>
  <c r="M31" i="9" s="1"/>
  <c r="O32" i="3"/>
  <c r="M32" i="9" s="1"/>
  <c r="O33" i="3"/>
  <c r="M33" i="9" s="1"/>
  <c r="O34" i="3"/>
  <c r="O35" i="3"/>
  <c r="M35" i="9" s="1"/>
  <c r="O36" i="3"/>
  <c r="M36" i="9" s="1"/>
  <c r="O37" i="3"/>
  <c r="M37" i="9" s="1"/>
  <c r="O38" i="3"/>
  <c r="O39" i="3"/>
  <c r="M39" i="9" s="1"/>
  <c r="O40" i="3"/>
  <c r="O41" i="3"/>
  <c r="M41" i="9" s="1"/>
  <c r="O42" i="3"/>
  <c r="O43" i="3"/>
  <c r="M43" i="9" s="1"/>
  <c r="O44" i="3"/>
  <c r="M44" i="9" s="1"/>
  <c r="O45" i="3"/>
  <c r="M45" i="9" s="1"/>
  <c r="O46" i="3"/>
  <c r="O47" i="3"/>
  <c r="M47" i="9" s="1"/>
  <c r="O48" i="3"/>
  <c r="O49" i="3"/>
  <c r="M49" i="9" s="1"/>
  <c r="O50" i="3"/>
  <c r="N4" i="3"/>
  <c r="L4" i="9" s="1"/>
  <c r="N5" i="3"/>
  <c r="L5" i="9" s="1"/>
  <c r="N6" i="3"/>
  <c r="L6" i="9" s="1"/>
  <c r="N7" i="3"/>
  <c r="L7" i="9" s="1"/>
  <c r="N8" i="3"/>
  <c r="L8" i="9" s="1"/>
  <c r="N9" i="3"/>
  <c r="L9" i="9" s="1"/>
  <c r="N10" i="3"/>
  <c r="L10" i="9" s="1"/>
  <c r="N11" i="3"/>
  <c r="L11" i="9" s="1"/>
  <c r="N12" i="3"/>
  <c r="L12" i="9" s="1"/>
  <c r="N13" i="3"/>
  <c r="L13" i="9" s="1"/>
  <c r="N14" i="3"/>
  <c r="L14" i="9" s="1"/>
  <c r="N15" i="3"/>
  <c r="L15" i="9" s="1"/>
  <c r="N16" i="3"/>
  <c r="L16" i="9" s="1"/>
  <c r="N17" i="3"/>
  <c r="L17" i="9" s="1"/>
  <c r="N18" i="3"/>
  <c r="L18" i="9" s="1"/>
  <c r="N19" i="3"/>
  <c r="L19" i="9" s="1"/>
  <c r="N20" i="3"/>
  <c r="L20" i="9" s="1"/>
  <c r="N21" i="3"/>
  <c r="L21" i="9" s="1"/>
  <c r="N22" i="3"/>
  <c r="L22" i="9" s="1"/>
  <c r="N23" i="3"/>
  <c r="L23" i="9" s="1"/>
  <c r="N24" i="3"/>
  <c r="L24" i="9" s="1"/>
  <c r="N25" i="3"/>
  <c r="L25" i="9" s="1"/>
  <c r="N26" i="3"/>
  <c r="L26" i="9" s="1"/>
  <c r="N27" i="3"/>
  <c r="L27" i="9" s="1"/>
  <c r="N28" i="3"/>
  <c r="L28" i="9" s="1"/>
  <c r="N29" i="3"/>
  <c r="L29" i="9" s="1"/>
  <c r="N30" i="3"/>
  <c r="L30" i="9" s="1"/>
  <c r="N31" i="3"/>
  <c r="L31" i="9" s="1"/>
  <c r="N32" i="3"/>
  <c r="L32" i="9" s="1"/>
  <c r="N33" i="3"/>
  <c r="L33" i="9" s="1"/>
  <c r="N34" i="3"/>
  <c r="L34" i="9" s="1"/>
  <c r="N35" i="3"/>
  <c r="L35" i="9" s="1"/>
  <c r="N36" i="3"/>
  <c r="L36" i="9" s="1"/>
  <c r="N37" i="3"/>
  <c r="N38" i="3"/>
  <c r="L38" i="9" s="1"/>
  <c r="N39" i="3"/>
  <c r="N40" i="3"/>
  <c r="L40" i="9" s="1"/>
  <c r="N41" i="3"/>
  <c r="N42" i="3"/>
  <c r="L42" i="9" s="1"/>
  <c r="N43" i="3"/>
  <c r="N44" i="3"/>
  <c r="L44" i="9" s="1"/>
  <c r="N45" i="3"/>
  <c r="N46" i="3"/>
  <c r="L46" i="9" s="1"/>
  <c r="N47" i="3"/>
  <c r="N48" i="3"/>
  <c r="L48" i="9" s="1"/>
  <c r="N49" i="3"/>
  <c r="N50" i="3"/>
  <c r="L50" i="9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K37" i="9" s="1"/>
  <c r="M38" i="3"/>
  <c r="M39" i="3"/>
  <c r="K39" i="9" s="1"/>
  <c r="M40" i="3"/>
  <c r="M41" i="3"/>
  <c r="K41" i="9" s="1"/>
  <c r="M42" i="3"/>
  <c r="M43" i="3"/>
  <c r="K43" i="9" s="1"/>
  <c r="M44" i="3"/>
  <c r="M45" i="3"/>
  <c r="K45" i="9" s="1"/>
  <c r="M46" i="3"/>
  <c r="M47" i="3"/>
  <c r="K47" i="9" s="1"/>
  <c r="M48" i="3"/>
  <c r="M49" i="3"/>
  <c r="K49" i="9" s="1"/>
  <c r="M50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7" i="9" s="1"/>
  <c r="J38" i="3"/>
  <c r="J39" i="3"/>
  <c r="J39" i="9" s="1"/>
  <c r="J40" i="3"/>
  <c r="J41" i="3"/>
  <c r="J41" i="9" s="1"/>
  <c r="J42" i="3"/>
  <c r="J43" i="3"/>
  <c r="J43" i="9" s="1"/>
  <c r="J44" i="3"/>
  <c r="J45" i="3"/>
  <c r="J45" i="9" s="1"/>
  <c r="J46" i="3"/>
  <c r="J47" i="3"/>
  <c r="J47" i="9" s="1"/>
  <c r="J48" i="3"/>
  <c r="J49" i="3"/>
  <c r="J49" i="9" s="1"/>
  <c r="J50" i="3"/>
  <c r="I3" i="3"/>
  <c r="I4" i="3"/>
  <c r="I5" i="3"/>
  <c r="I6" i="3"/>
  <c r="I7" i="3"/>
  <c r="I8" i="3"/>
  <c r="I9" i="3"/>
  <c r="I10" i="3"/>
  <c r="I11" i="3"/>
  <c r="I12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G3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7" i="9" s="1"/>
  <c r="D38" i="3"/>
  <c r="D39" i="3"/>
  <c r="D39" i="9" s="1"/>
  <c r="D40" i="3"/>
  <c r="D41" i="3"/>
  <c r="D41" i="9" s="1"/>
  <c r="D42" i="3"/>
  <c r="D43" i="3"/>
  <c r="D43" i="9" s="1"/>
  <c r="D44" i="3"/>
  <c r="D45" i="3"/>
  <c r="D45" i="9" s="1"/>
  <c r="D46" i="3"/>
  <c r="D47" i="3"/>
  <c r="D47" i="9" s="1"/>
  <c r="D48" i="3"/>
  <c r="D49" i="3"/>
  <c r="D49" i="9" s="1"/>
  <c r="D50" i="3"/>
  <c r="C3" i="3"/>
  <c r="C4" i="3"/>
  <c r="C4" i="9" s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7" i="9" s="1"/>
  <c r="C38" i="3"/>
  <c r="C39" i="3"/>
  <c r="C39" i="9" s="1"/>
  <c r="C40" i="3"/>
  <c r="C41" i="3"/>
  <c r="C41" i="9" s="1"/>
  <c r="C42" i="3"/>
  <c r="C43" i="3"/>
  <c r="C43" i="9" s="1"/>
  <c r="C44" i="3"/>
  <c r="C45" i="3"/>
  <c r="C45" i="9" s="1"/>
  <c r="C46" i="3"/>
  <c r="C47" i="3"/>
  <c r="C47" i="9" s="1"/>
  <c r="C48" i="3"/>
  <c r="C49" i="3"/>
  <c r="C49" i="9" s="1"/>
  <c r="C5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7" i="9" s="1"/>
  <c r="B38" i="3"/>
  <c r="B39" i="3"/>
  <c r="B39" i="9" s="1"/>
  <c r="B40" i="3"/>
  <c r="B41" i="3"/>
  <c r="B41" i="9" s="1"/>
  <c r="B42" i="3"/>
  <c r="B43" i="3"/>
  <c r="B43" i="9" s="1"/>
  <c r="B44" i="3"/>
  <c r="B45" i="3"/>
  <c r="B45" i="9" s="1"/>
  <c r="B46" i="3"/>
  <c r="B47" i="3"/>
  <c r="B47" i="9" s="1"/>
  <c r="B48" i="3"/>
  <c r="B49" i="3"/>
  <c r="B49" i="9" s="1"/>
  <c r="B50" i="3"/>
  <c r="A3" i="3"/>
  <c r="A3" i="9" s="1"/>
  <c r="A4" i="3"/>
  <c r="A4" i="9" s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7" i="9" s="1"/>
  <c r="A38" i="3"/>
  <c r="A39" i="3"/>
  <c r="A39" i="9" s="1"/>
  <c r="A40" i="3"/>
  <c r="A41" i="3"/>
  <c r="A41" i="9" s="1"/>
  <c r="A42" i="3"/>
  <c r="A43" i="3"/>
  <c r="A43" i="9" s="1"/>
  <c r="A44" i="3"/>
  <c r="A45" i="3"/>
  <c r="A45" i="9" s="1"/>
  <c r="A46" i="3"/>
  <c r="A47" i="3"/>
  <c r="A47" i="9" s="1"/>
  <c r="A48" i="3"/>
  <c r="A49" i="3"/>
  <c r="A49" i="9" s="1"/>
  <c r="A50" i="3"/>
  <c r="B51" i="4"/>
  <c r="O51" i="4"/>
  <c r="P51" i="4"/>
  <c r="R51" i="4"/>
  <c r="S51" i="4"/>
  <c r="U51" i="4"/>
  <c r="AA51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3" i="4"/>
  <c r="AD4" i="4"/>
  <c r="AD5" i="4"/>
  <c r="AB3" i="4"/>
  <c r="AB4" i="4"/>
  <c r="AB5" i="4"/>
  <c r="AA3" i="4"/>
  <c r="AA4" i="4"/>
  <c r="J4" i="2"/>
  <c r="J7" i="2"/>
  <c r="A33" i="4" l="1"/>
  <c r="A33" i="9"/>
  <c r="A25" i="4"/>
  <c r="A25" i="9"/>
  <c r="A17" i="4"/>
  <c r="A17" i="9"/>
  <c r="A9" i="4"/>
  <c r="A9" i="9"/>
  <c r="B33" i="4"/>
  <c r="B33" i="9"/>
  <c r="B25" i="4"/>
  <c r="B25" i="9"/>
  <c r="B17" i="4"/>
  <c r="B17" i="9"/>
  <c r="B9" i="4"/>
  <c r="B9" i="9"/>
  <c r="D25" i="4"/>
  <c r="D25" i="9"/>
  <c r="D17" i="4"/>
  <c r="D17" i="9"/>
  <c r="D9" i="4"/>
  <c r="D9" i="9"/>
  <c r="O31" i="4"/>
  <c r="J31" i="9"/>
  <c r="O23" i="4"/>
  <c r="J23" i="9"/>
  <c r="O15" i="4"/>
  <c r="J15" i="9"/>
  <c r="O7" i="4"/>
  <c r="J7" i="9"/>
  <c r="P31" i="4"/>
  <c r="K31" i="9"/>
  <c r="P19" i="4"/>
  <c r="K19" i="9"/>
  <c r="P15" i="4"/>
  <c r="K15" i="9"/>
  <c r="P7" i="4"/>
  <c r="K7" i="9"/>
  <c r="W47" i="3"/>
  <c r="U47" i="7" s="1"/>
  <c r="L47" i="9"/>
  <c r="W39" i="3"/>
  <c r="U39" i="7" s="1"/>
  <c r="L39" i="9"/>
  <c r="S3" i="3"/>
  <c r="T3" i="3" s="1"/>
  <c r="M3" i="9"/>
  <c r="S35" i="4"/>
  <c r="N35" i="9"/>
  <c r="S27" i="4"/>
  <c r="N27" i="9"/>
  <c r="S19" i="4"/>
  <c r="N19" i="9"/>
  <c r="S11" i="4"/>
  <c r="N11" i="9"/>
  <c r="T31" i="4"/>
  <c r="O31" i="9"/>
  <c r="T23" i="4"/>
  <c r="O23" i="9"/>
  <c r="T19" i="4"/>
  <c r="O19" i="9"/>
  <c r="T11" i="4"/>
  <c r="O11" i="9"/>
  <c r="T3" i="4"/>
  <c r="O3" i="9"/>
  <c r="P43" i="9"/>
  <c r="Q43" i="9"/>
  <c r="U35" i="4"/>
  <c r="P35" i="9"/>
  <c r="Q35" i="9"/>
  <c r="P27" i="9"/>
  <c r="Q27" i="9"/>
  <c r="P15" i="9"/>
  <c r="Q15" i="9"/>
  <c r="U7" i="4"/>
  <c r="Q7" i="9"/>
  <c r="P7" i="9"/>
  <c r="A48" i="4"/>
  <c r="A48" i="9"/>
  <c r="A40" i="4"/>
  <c r="A40" i="9"/>
  <c r="A32" i="4"/>
  <c r="A32" i="9"/>
  <c r="A24" i="4"/>
  <c r="A24" i="9"/>
  <c r="A16" i="4"/>
  <c r="A16" i="9"/>
  <c r="B44" i="4"/>
  <c r="B44" i="9"/>
  <c r="B36" i="4"/>
  <c r="B36" i="9"/>
  <c r="B28" i="4"/>
  <c r="B28" i="9"/>
  <c r="B20" i="4"/>
  <c r="B20" i="9"/>
  <c r="B12" i="4"/>
  <c r="B12" i="9"/>
  <c r="E4" i="3"/>
  <c r="B4" i="9"/>
  <c r="C44" i="4"/>
  <c r="C44" i="9"/>
  <c r="C36" i="4"/>
  <c r="C36" i="9"/>
  <c r="C28" i="4"/>
  <c r="C28" i="9"/>
  <c r="C20" i="4"/>
  <c r="C20" i="9"/>
  <c r="C12" i="4"/>
  <c r="C12" i="9"/>
  <c r="D44" i="4"/>
  <c r="D44" i="9"/>
  <c r="D36" i="4"/>
  <c r="D36" i="9"/>
  <c r="D28" i="4"/>
  <c r="D28" i="9"/>
  <c r="D20" i="4"/>
  <c r="D20" i="9"/>
  <c r="D12" i="4"/>
  <c r="D12" i="9"/>
  <c r="D4" i="4"/>
  <c r="D4" i="9"/>
  <c r="O50" i="4"/>
  <c r="J50" i="9"/>
  <c r="O42" i="4"/>
  <c r="J42" i="9"/>
  <c r="O34" i="4"/>
  <c r="J34" i="9"/>
  <c r="O26" i="4"/>
  <c r="J26" i="9"/>
  <c r="O18" i="4"/>
  <c r="J18" i="9"/>
  <c r="O10" i="4"/>
  <c r="J10" i="9"/>
  <c r="P50" i="4"/>
  <c r="K50" i="9"/>
  <c r="P42" i="4"/>
  <c r="K42" i="9"/>
  <c r="P34" i="4"/>
  <c r="K34" i="9"/>
  <c r="P26" i="4"/>
  <c r="K26" i="9"/>
  <c r="P18" i="4"/>
  <c r="K18" i="9"/>
  <c r="P10" i="4"/>
  <c r="K10" i="9"/>
  <c r="R50" i="4"/>
  <c r="M50" i="9"/>
  <c r="R42" i="4"/>
  <c r="M42" i="9"/>
  <c r="R34" i="4"/>
  <c r="M34" i="9"/>
  <c r="R26" i="4"/>
  <c r="M26" i="9"/>
  <c r="R18" i="4"/>
  <c r="M18" i="9"/>
  <c r="R10" i="4"/>
  <c r="M10" i="9"/>
  <c r="S50" i="4"/>
  <c r="N50" i="9"/>
  <c r="S34" i="4"/>
  <c r="N34" i="9"/>
  <c r="S26" i="4"/>
  <c r="N26" i="9"/>
  <c r="S18" i="4"/>
  <c r="N18" i="9"/>
  <c r="S10" i="4"/>
  <c r="N10" i="9"/>
  <c r="T50" i="4"/>
  <c r="O50" i="9"/>
  <c r="T42" i="4"/>
  <c r="O42" i="9"/>
  <c r="T34" i="4"/>
  <c r="O34" i="9"/>
  <c r="T26" i="4"/>
  <c r="O26" i="9"/>
  <c r="T22" i="4"/>
  <c r="O22" i="9"/>
  <c r="T14" i="4"/>
  <c r="O14" i="9"/>
  <c r="P50" i="9"/>
  <c r="Q50" i="9"/>
  <c r="P42" i="9"/>
  <c r="Q42" i="9"/>
  <c r="P34" i="9"/>
  <c r="Q34" i="9"/>
  <c r="P26" i="9"/>
  <c r="Q26" i="9"/>
  <c r="P18" i="9"/>
  <c r="Q18" i="9"/>
  <c r="Q10" i="9"/>
  <c r="P10" i="9"/>
  <c r="A7" i="4"/>
  <c r="A7" i="9"/>
  <c r="B35" i="4"/>
  <c r="B35" i="9"/>
  <c r="B31" i="4"/>
  <c r="B31" i="9"/>
  <c r="B27" i="4"/>
  <c r="B27" i="9"/>
  <c r="B23" i="4"/>
  <c r="B23" i="9"/>
  <c r="B19" i="4"/>
  <c r="B19" i="9"/>
  <c r="B15" i="4"/>
  <c r="B15" i="9"/>
  <c r="B11" i="4"/>
  <c r="B11" i="9"/>
  <c r="E7" i="3"/>
  <c r="B7" i="9"/>
  <c r="E3" i="3"/>
  <c r="B3" i="9"/>
  <c r="C35" i="4"/>
  <c r="C35" i="9"/>
  <c r="C31" i="4"/>
  <c r="C31" i="9"/>
  <c r="C27" i="4"/>
  <c r="C27" i="9"/>
  <c r="C23" i="4"/>
  <c r="C23" i="9"/>
  <c r="C19" i="4"/>
  <c r="C19" i="9"/>
  <c r="C15" i="4"/>
  <c r="C15" i="9"/>
  <c r="C11" i="4"/>
  <c r="C11" i="9"/>
  <c r="C7" i="4"/>
  <c r="C7" i="9"/>
  <c r="C3" i="4"/>
  <c r="C3" i="9"/>
  <c r="D35" i="4"/>
  <c r="D35" i="9"/>
  <c r="D31" i="4"/>
  <c r="D31" i="9"/>
  <c r="D27" i="4"/>
  <c r="D27" i="9"/>
  <c r="D23" i="4"/>
  <c r="D23" i="9"/>
  <c r="D19" i="4"/>
  <c r="D19" i="9"/>
  <c r="D15" i="4"/>
  <c r="D15" i="9"/>
  <c r="D11" i="4"/>
  <c r="D11" i="9"/>
  <c r="D7" i="4"/>
  <c r="D7" i="9"/>
  <c r="D3" i="4"/>
  <c r="D3" i="9"/>
  <c r="O33" i="4"/>
  <c r="J33" i="9"/>
  <c r="O29" i="4"/>
  <c r="J29" i="9"/>
  <c r="O25" i="4"/>
  <c r="J25" i="9"/>
  <c r="O21" i="4"/>
  <c r="J21" i="9"/>
  <c r="O17" i="4"/>
  <c r="J17" i="9"/>
  <c r="O13" i="4"/>
  <c r="J13" i="9"/>
  <c r="O9" i="4"/>
  <c r="J9" i="9"/>
  <c r="O5" i="4"/>
  <c r="J5" i="9"/>
  <c r="P33" i="4"/>
  <c r="K33" i="9"/>
  <c r="P29" i="4"/>
  <c r="K29" i="9"/>
  <c r="P25" i="4"/>
  <c r="K25" i="9"/>
  <c r="P21" i="4"/>
  <c r="K21" i="9"/>
  <c r="P17" i="4"/>
  <c r="K17" i="9"/>
  <c r="P13" i="4"/>
  <c r="K13" i="9"/>
  <c r="P9" i="4"/>
  <c r="K9" i="9"/>
  <c r="P5" i="4"/>
  <c r="K5" i="9"/>
  <c r="W49" i="3"/>
  <c r="U49" i="7" s="1"/>
  <c r="L49" i="9"/>
  <c r="W45" i="3"/>
  <c r="U45" i="7" s="1"/>
  <c r="L45" i="9"/>
  <c r="W41" i="3"/>
  <c r="U41" i="7" s="1"/>
  <c r="L41" i="9"/>
  <c r="W37" i="3"/>
  <c r="U37" i="7" s="1"/>
  <c r="L37" i="9"/>
  <c r="S33" i="4"/>
  <c r="N33" i="9"/>
  <c r="S29" i="4"/>
  <c r="N29" i="9"/>
  <c r="S25" i="4"/>
  <c r="N25" i="9"/>
  <c r="S21" i="4"/>
  <c r="N21" i="9"/>
  <c r="S17" i="4"/>
  <c r="N17" i="9"/>
  <c r="S13" i="4"/>
  <c r="N13" i="9"/>
  <c r="S9" i="4"/>
  <c r="N9" i="9"/>
  <c r="S5" i="4"/>
  <c r="N5" i="9"/>
  <c r="T5" i="4"/>
  <c r="O5" i="9"/>
  <c r="P49" i="9"/>
  <c r="Q49" i="9"/>
  <c r="P45" i="9"/>
  <c r="Q45" i="9"/>
  <c r="P41" i="9"/>
  <c r="Q41" i="9"/>
  <c r="P37" i="9"/>
  <c r="Q37" i="9"/>
  <c r="P33" i="9"/>
  <c r="Q33" i="9"/>
  <c r="U29" i="4"/>
  <c r="P29" i="9"/>
  <c r="Q29" i="9"/>
  <c r="P25" i="9"/>
  <c r="Q25" i="9"/>
  <c r="U21" i="4"/>
  <c r="P21" i="9"/>
  <c r="Q21" i="9"/>
  <c r="P17" i="9"/>
  <c r="Q17" i="9"/>
  <c r="P13" i="9"/>
  <c r="Q13" i="9"/>
  <c r="U9" i="4"/>
  <c r="Q9" i="9"/>
  <c r="P9" i="9"/>
  <c r="Q5" i="9"/>
  <c r="P5" i="9"/>
  <c r="A29" i="4"/>
  <c r="A29" i="9"/>
  <c r="A21" i="4"/>
  <c r="A21" i="9"/>
  <c r="A13" i="4"/>
  <c r="A13" i="9"/>
  <c r="A5" i="4"/>
  <c r="A5" i="9"/>
  <c r="B29" i="4"/>
  <c r="B29" i="9"/>
  <c r="B21" i="4"/>
  <c r="B21" i="9"/>
  <c r="B13" i="4"/>
  <c r="B13" i="9"/>
  <c r="E5" i="3"/>
  <c r="B5" i="9"/>
  <c r="C33" i="4"/>
  <c r="C33" i="9"/>
  <c r="C29" i="4"/>
  <c r="C29" i="9"/>
  <c r="C25" i="4"/>
  <c r="C25" i="9"/>
  <c r="C21" i="4"/>
  <c r="C21" i="9"/>
  <c r="C17" i="4"/>
  <c r="C17" i="9"/>
  <c r="C13" i="4"/>
  <c r="C13" i="9"/>
  <c r="C9" i="4"/>
  <c r="C9" i="9"/>
  <c r="C5" i="4"/>
  <c r="C5" i="9"/>
  <c r="D33" i="4"/>
  <c r="D33" i="9"/>
  <c r="D29" i="4"/>
  <c r="D29" i="9"/>
  <c r="D21" i="4"/>
  <c r="D21" i="9"/>
  <c r="D13" i="4"/>
  <c r="D13" i="9"/>
  <c r="D5" i="4"/>
  <c r="D5" i="9"/>
  <c r="O35" i="4"/>
  <c r="J35" i="9"/>
  <c r="O27" i="4"/>
  <c r="J27" i="9"/>
  <c r="O19" i="4"/>
  <c r="J19" i="9"/>
  <c r="O11" i="4"/>
  <c r="J11" i="9"/>
  <c r="O3" i="4"/>
  <c r="J3" i="9"/>
  <c r="P35" i="4"/>
  <c r="K35" i="9"/>
  <c r="P27" i="4"/>
  <c r="K27" i="9"/>
  <c r="P23" i="4"/>
  <c r="K23" i="9"/>
  <c r="P11" i="4"/>
  <c r="K11" i="9"/>
  <c r="P3" i="4"/>
  <c r="K3" i="9"/>
  <c r="W43" i="3"/>
  <c r="U43" i="7" s="1"/>
  <c r="L43" i="9"/>
  <c r="S31" i="4"/>
  <c r="N31" i="9"/>
  <c r="S23" i="4"/>
  <c r="N23" i="9"/>
  <c r="S15" i="4"/>
  <c r="N15" i="9"/>
  <c r="S7" i="4"/>
  <c r="N7" i="9"/>
  <c r="S3" i="4"/>
  <c r="N3" i="9"/>
  <c r="T35" i="4"/>
  <c r="O35" i="9"/>
  <c r="T27" i="4"/>
  <c r="O27" i="9"/>
  <c r="T15" i="4"/>
  <c r="O15" i="9"/>
  <c r="T7" i="4"/>
  <c r="O7" i="9"/>
  <c r="P47" i="9"/>
  <c r="Q47" i="9"/>
  <c r="P39" i="9"/>
  <c r="Q39" i="9"/>
  <c r="U31" i="4"/>
  <c r="P31" i="9"/>
  <c r="Q31" i="9"/>
  <c r="U23" i="4"/>
  <c r="P23" i="9"/>
  <c r="Q23" i="9"/>
  <c r="U19" i="4"/>
  <c r="P19" i="9"/>
  <c r="Q19" i="9"/>
  <c r="U11" i="4"/>
  <c r="Q11" i="9"/>
  <c r="P11" i="9"/>
  <c r="Q3" i="9"/>
  <c r="P3" i="9"/>
  <c r="A44" i="4"/>
  <c r="A44" i="9"/>
  <c r="A36" i="4"/>
  <c r="A36" i="9"/>
  <c r="A28" i="4"/>
  <c r="A28" i="9"/>
  <c r="A20" i="4"/>
  <c r="A20" i="9"/>
  <c r="A12" i="4"/>
  <c r="A12" i="9"/>
  <c r="A8" i="4"/>
  <c r="A8" i="9"/>
  <c r="B48" i="4"/>
  <c r="B48" i="9"/>
  <c r="B40" i="4"/>
  <c r="B40" i="9"/>
  <c r="B32" i="4"/>
  <c r="B32" i="9"/>
  <c r="B24" i="4"/>
  <c r="B24" i="9"/>
  <c r="B16" i="4"/>
  <c r="B16" i="9"/>
  <c r="B8" i="4"/>
  <c r="B8" i="9"/>
  <c r="C48" i="4"/>
  <c r="C48" i="9"/>
  <c r="C40" i="4"/>
  <c r="C40" i="9"/>
  <c r="C32" i="4"/>
  <c r="C32" i="9"/>
  <c r="C24" i="4"/>
  <c r="C24" i="9"/>
  <c r="C16" i="4"/>
  <c r="C16" i="9"/>
  <c r="C8" i="4"/>
  <c r="C8" i="9"/>
  <c r="D48" i="4"/>
  <c r="D48" i="9"/>
  <c r="D40" i="4"/>
  <c r="D40" i="9"/>
  <c r="D32" i="4"/>
  <c r="D32" i="9"/>
  <c r="D24" i="4"/>
  <c r="D24" i="9"/>
  <c r="D16" i="4"/>
  <c r="D16" i="9"/>
  <c r="D8" i="4"/>
  <c r="D8" i="9"/>
  <c r="O46" i="4"/>
  <c r="J46" i="9"/>
  <c r="O38" i="4"/>
  <c r="J38" i="9"/>
  <c r="O30" i="4"/>
  <c r="J30" i="9"/>
  <c r="O22" i="4"/>
  <c r="J22" i="9"/>
  <c r="O14" i="4"/>
  <c r="J14" i="9"/>
  <c r="O6" i="4"/>
  <c r="J6" i="9"/>
  <c r="P46" i="4"/>
  <c r="K46" i="9"/>
  <c r="P38" i="4"/>
  <c r="K38" i="9"/>
  <c r="P30" i="4"/>
  <c r="K30" i="9"/>
  <c r="P22" i="4"/>
  <c r="K22" i="9"/>
  <c r="P14" i="4"/>
  <c r="K14" i="9"/>
  <c r="P6" i="4"/>
  <c r="K6" i="9"/>
  <c r="R46" i="4"/>
  <c r="M46" i="9"/>
  <c r="R38" i="4"/>
  <c r="M38" i="9"/>
  <c r="R30" i="4"/>
  <c r="M30" i="9"/>
  <c r="R22" i="4"/>
  <c r="M22" i="9"/>
  <c r="R14" i="4"/>
  <c r="M14" i="9"/>
  <c r="R6" i="4"/>
  <c r="M6" i="9"/>
  <c r="S46" i="4"/>
  <c r="N46" i="9"/>
  <c r="S30" i="4"/>
  <c r="N30" i="9"/>
  <c r="S22" i="4"/>
  <c r="N22" i="9"/>
  <c r="S14" i="4"/>
  <c r="N14" i="9"/>
  <c r="S6" i="4"/>
  <c r="N6" i="9"/>
  <c r="T46" i="4"/>
  <c r="O46" i="9"/>
  <c r="T38" i="4"/>
  <c r="O38" i="9"/>
  <c r="T30" i="4"/>
  <c r="O30" i="9"/>
  <c r="T18" i="4"/>
  <c r="O18" i="9"/>
  <c r="T10" i="4"/>
  <c r="O10" i="9"/>
  <c r="T6" i="4"/>
  <c r="O6" i="9"/>
  <c r="U46" i="4"/>
  <c r="P46" i="9"/>
  <c r="Q46" i="9"/>
  <c r="U38" i="4"/>
  <c r="P38" i="9"/>
  <c r="Q38" i="9"/>
  <c r="P30" i="9"/>
  <c r="Q30" i="9"/>
  <c r="P22" i="9"/>
  <c r="Q22" i="9"/>
  <c r="P14" i="9"/>
  <c r="Q14" i="9"/>
  <c r="Q6" i="9"/>
  <c r="P6" i="9"/>
  <c r="A35" i="4"/>
  <c r="A35" i="9"/>
  <c r="A31" i="4"/>
  <c r="A31" i="9"/>
  <c r="A27" i="4"/>
  <c r="A27" i="9"/>
  <c r="A23" i="4"/>
  <c r="A23" i="9"/>
  <c r="A19" i="4"/>
  <c r="A19" i="9"/>
  <c r="A15" i="4"/>
  <c r="A15" i="9"/>
  <c r="A11" i="4"/>
  <c r="A11" i="9"/>
  <c r="A50" i="4"/>
  <c r="A50" i="9"/>
  <c r="A46" i="4"/>
  <c r="A46" i="9"/>
  <c r="A42" i="4"/>
  <c r="A42" i="9"/>
  <c r="A38" i="4"/>
  <c r="A38" i="9"/>
  <c r="A34" i="4"/>
  <c r="A34" i="9"/>
  <c r="A30" i="4"/>
  <c r="A30" i="9"/>
  <c r="A26" i="4"/>
  <c r="A26" i="9"/>
  <c r="A22" i="4"/>
  <c r="A22" i="9"/>
  <c r="A18" i="4"/>
  <c r="A18" i="9"/>
  <c r="A14" i="4"/>
  <c r="A14" i="9"/>
  <c r="A10" i="4"/>
  <c r="A10" i="9"/>
  <c r="A6" i="4"/>
  <c r="A6" i="9"/>
  <c r="B50" i="4"/>
  <c r="B50" i="9"/>
  <c r="B46" i="4"/>
  <c r="B46" i="9"/>
  <c r="B42" i="4"/>
  <c r="B42" i="9"/>
  <c r="B38" i="4"/>
  <c r="B38" i="9"/>
  <c r="B34" i="4"/>
  <c r="B34" i="9"/>
  <c r="B30" i="4"/>
  <c r="B30" i="9"/>
  <c r="B26" i="4"/>
  <c r="B26" i="9"/>
  <c r="B22" i="4"/>
  <c r="B22" i="9"/>
  <c r="B18" i="4"/>
  <c r="B18" i="9"/>
  <c r="B14" i="4"/>
  <c r="B14" i="9"/>
  <c r="B10" i="4"/>
  <c r="B10" i="9"/>
  <c r="E6" i="3"/>
  <c r="B6" i="9"/>
  <c r="C50" i="4"/>
  <c r="C50" i="9"/>
  <c r="C46" i="4"/>
  <c r="C46" i="9"/>
  <c r="C42" i="4"/>
  <c r="C42" i="9"/>
  <c r="C38" i="4"/>
  <c r="C38" i="9"/>
  <c r="C34" i="4"/>
  <c r="C34" i="9"/>
  <c r="C30" i="4"/>
  <c r="C30" i="9"/>
  <c r="C26" i="4"/>
  <c r="C26" i="9"/>
  <c r="C22" i="4"/>
  <c r="C22" i="9"/>
  <c r="C18" i="4"/>
  <c r="C18" i="9"/>
  <c r="C14" i="4"/>
  <c r="C14" i="9"/>
  <c r="C10" i="4"/>
  <c r="C10" i="9"/>
  <c r="C6" i="4"/>
  <c r="C6" i="9"/>
  <c r="D50" i="4"/>
  <c r="D50" i="9"/>
  <c r="D46" i="4"/>
  <c r="D46" i="9"/>
  <c r="D42" i="4"/>
  <c r="D42" i="9"/>
  <c r="D38" i="4"/>
  <c r="D38" i="9"/>
  <c r="D34" i="4"/>
  <c r="D34" i="9"/>
  <c r="D30" i="4"/>
  <c r="D30" i="9"/>
  <c r="D26" i="4"/>
  <c r="D26" i="9"/>
  <c r="D22" i="4"/>
  <c r="D22" i="9"/>
  <c r="D18" i="4"/>
  <c r="D18" i="9"/>
  <c r="D14" i="4"/>
  <c r="D14" i="9"/>
  <c r="D10" i="4"/>
  <c r="D10" i="9"/>
  <c r="D6" i="4"/>
  <c r="D6" i="9"/>
  <c r="O48" i="4"/>
  <c r="J48" i="9"/>
  <c r="O44" i="4"/>
  <c r="J44" i="9"/>
  <c r="O40" i="4"/>
  <c r="J40" i="9"/>
  <c r="O36" i="4"/>
  <c r="J36" i="9"/>
  <c r="O32" i="4"/>
  <c r="J32" i="9"/>
  <c r="O28" i="4"/>
  <c r="J28" i="9"/>
  <c r="O24" i="4"/>
  <c r="J24" i="9"/>
  <c r="O20" i="4"/>
  <c r="J20" i="9"/>
  <c r="O16" i="4"/>
  <c r="J16" i="9"/>
  <c r="O12" i="4"/>
  <c r="J12" i="9"/>
  <c r="O8" i="4"/>
  <c r="J8" i="9"/>
  <c r="O4" i="4"/>
  <c r="J4" i="9"/>
  <c r="P48" i="4"/>
  <c r="K48" i="9"/>
  <c r="P44" i="4"/>
  <c r="K44" i="9"/>
  <c r="P40" i="4"/>
  <c r="K40" i="9"/>
  <c r="P36" i="4"/>
  <c r="K36" i="9"/>
  <c r="P32" i="4"/>
  <c r="K32" i="9"/>
  <c r="P28" i="4"/>
  <c r="K28" i="9"/>
  <c r="P24" i="4"/>
  <c r="K24" i="9"/>
  <c r="P20" i="4"/>
  <c r="K20" i="9"/>
  <c r="P16" i="4"/>
  <c r="K16" i="9"/>
  <c r="P12" i="4"/>
  <c r="K12" i="9"/>
  <c r="P8" i="4"/>
  <c r="K8" i="9"/>
  <c r="P4" i="4"/>
  <c r="K4" i="9"/>
  <c r="S48" i="3"/>
  <c r="T48" i="3" s="1"/>
  <c r="M48" i="9"/>
  <c r="S40" i="3"/>
  <c r="T40" i="3" s="1"/>
  <c r="M40" i="9"/>
  <c r="S24" i="3"/>
  <c r="T24" i="3" s="1"/>
  <c r="M24" i="9"/>
  <c r="S20" i="3"/>
  <c r="T20" i="3" s="1"/>
  <c r="M20" i="9"/>
  <c r="S16" i="3"/>
  <c r="T16" i="3" s="1"/>
  <c r="M16" i="9"/>
  <c r="S12" i="3"/>
  <c r="T12" i="3" s="1"/>
  <c r="M12" i="9"/>
  <c r="S48" i="4"/>
  <c r="N48" i="9"/>
  <c r="S44" i="4"/>
  <c r="N44" i="9"/>
  <c r="S40" i="4"/>
  <c r="N40" i="9"/>
  <c r="S36" i="4"/>
  <c r="N36" i="9"/>
  <c r="S32" i="4"/>
  <c r="N32" i="9"/>
  <c r="S28" i="4"/>
  <c r="N28" i="9"/>
  <c r="S24" i="4"/>
  <c r="N24" i="9"/>
  <c r="S20" i="4"/>
  <c r="N20" i="9"/>
  <c r="S16" i="4"/>
  <c r="N16" i="9"/>
  <c r="S12" i="4"/>
  <c r="N12" i="9"/>
  <c r="S8" i="4"/>
  <c r="N8" i="9"/>
  <c r="S4" i="4"/>
  <c r="N4" i="9"/>
  <c r="T48" i="4"/>
  <c r="O48" i="9"/>
  <c r="T44" i="4"/>
  <c r="O44" i="9"/>
  <c r="T40" i="4"/>
  <c r="O40" i="9"/>
  <c r="T36" i="4"/>
  <c r="O36" i="9"/>
  <c r="T32" i="4"/>
  <c r="O32" i="9"/>
  <c r="T28" i="4"/>
  <c r="O28" i="9"/>
  <c r="T24" i="4"/>
  <c r="O24" i="9"/>
  <c r="T20" i="4"/>
  <c r="O20" i="9"/>
  <c r="T16" i="4"/>
  <c r="O16" i="9"/>
  <c r="T12" i="4"/>
  <c r="O12" i="9"/>
  <c r="T8" i="4"/>
  <c r="O8" i="9"/>
  <c r="T4" i="4"/>
  <c r="O4" i="9"/>
  <c r="P48" i="9"/>
  <c r="Q48" i="9"/>
  <c r="U44" i="4"/>
  <c r="P44" i="9"/>
  <c r="Q44" i="9"/>
  <c r="P40" i="9"/>
  <c r="Q40" i="9"/>
  <c r="P36" i="9"/>
  <c r="Q36" i="9"/>
  <c r="P32" i="9"/>
  <c r="Q32" i="9"/>
  <c r="U28" i="4"/>
  <c r="P28" i="9"/>
  <c r="Q28" i="9"/>
  <c r="P24" i="9"/>
  <c r="Q24" i="9"/>
  <c r="P20" i="9"/>
  <c r="Q20" i="9"/>
  <c r="P16" i="9"/>
  <c r="Q16" i="9"/>
  <c r="U12" i="4"/>
  <c r="P12" i="9"/>
  <c r="Q12" i="9"/>
  <c r="Q8" i="9"/>
  <c r="P8" i="9"/>
  <c r="U4" i="4"/>
  <c r="Q4" i="9"/>
  <c r="P4" i="9"/>
  <c r="S4" i="3"/>
  <c r="T4" i="3" s="1"/>
  <c r="S32" i="3"/>
  <c r="T32" i="3" s="1"/>
  <c r="S21" i="3"/>
  <c r="T21" i="3" s="1"/>
  <c r="S49" i="3"/>
  <c r="T49" i="3" s="1"/>
  <c r="S17" i="3"/>
  <c r="T17" i="3" s="1"/>
  <c r="Q21" i="4"/>
  <c r="W21" i="3"/>
  <c r="U21" i="7" s="1"/>
  <c r="Q13" i="4"/>
  <c r="W13" i="3"/>
  <c r="U13" i="7" s="1"/>
  <c r="Q5" i="4"/>
  <c r="W5" i="3"/>
  <c r="U5" i="7" s="1"/>
  <c r="Q48" i="4"/>
  <c r="W48" i="3"/>
  <c r="U48" i="7" s="1"/>
  <c r="Q44" i="4"/>
  <c r="W44" i="3"/>
  <c r="U44" i="7" s="1"/>
  <c r="Q40" i="4"/>
  <c r="W40" i="3"/>
  <c r="U40" i="7" s="1"/>
  <c r="Q36" i="4"/>
  <c r="W36" i="3"/>
  <c r="U36" i="7" s="1"/>
  <c r="Q32" i="4"/>
  <c r="W32" i="3"/>
  <c r="U32" i="7" s="1"/>
  <c r="Q28" i="4"/>
  <c r="W28" i="3"/>
  <c r="U28" i="7" s="1"/>
  <c r="Q24" i="4"/>
  <c r="W24" i="3"/>
  <c r="U24" i="7" s="1"/>
  <c r="Q20" i="4"/>
  <c r="W20" i="3"/>
  <c r="U20" i="7" s="1"/>
  <c r="Q16" i="4"/>
  <c r="W16" i="3"/>
  <c r="U16" i="7" s="1"/>
  <c r="Q12" i="4"/>
  <c r="W12" i="3"/>
  <c r="U12" i="7" s="1"/>
  <c r="Q8" i="4"/>
  <c r="W8" i="3"/>
  <c r="U8" i="7" s="1"/>
  <c r="Q4" i="4"/>
  <c r="W4" i="3"/>
  <c r="U4" i="7" s="1"/>
  <c r="Q29" i="4"/>
  <c r="W29" i="3"/>
  <c r="U29" i="7" s="1"/>
  <c r="Q35" i="4"/>
  <c r="W35" i="3"/>
  <c r="U35" i="7" s="1"/>
  <c r="Q31" i="4"/>
  <c r="W31" i="3"/>
  <c r="U31" i="7" s="1"/>
  <c r="Q27" i="4"/>
  <c r="W27" i="3"/>
  <c r="U27" i="7" s="1"/>
  <c r="Q23" i="4"/>
  <c r="W23" i="3"/>
  <c r="U23" i="7" s="1"/>
  <c r="Q19" i="4"/>
  <c r="W19" i="3"/>
  <c r="U19" i="7" s="1"/>
  <c r="Q15" i="4"/>
  <c r="W15" i="3"/>
  <c r="U15" i="7" s="1"/>
  <c r="Q11" i="4"/>
  <c r="W11" i="3"/>
  <c r="U11" i="7" s="1"/>
  <c r="Q7" i="4"/>
  <c r="W7" i="3"/>
  <c r="U7" i="7" s="1"/>
  <c r="Q33" i="4"/>
  <c r="W33" i="3"/>
  <c r="U33" i="7" s="1"/>
  <c r="Q25" i="4"/>
  <c r="W25" i="3"/>
  <c r="U25" i="7" s="1"/>
  <c r="Q17" i="4"/>
  <c r="W17" i="3"/>
  <c r="U17" i="7" s="1"/>
  <c r="Q9" i="4"/>
  <c r="W9" i="3"/>
  <c r="U9" i="7" s="1"/>
  <c r="Q50" i="4"/>
  <c r="W50" i="3"/>
  <c r="U50" i="7" s="1"/>
  <c r="Q46" i="4"/>
  <c r="W46" i="3"/>
  <c r="U46" i="7" s="1"/>
  <c r="Q42" i="4"/>
  <c r="W42" i="3"/>
  <c r="U42" i="7" s="1"/>
  <c r="Q38" i="4"/>
  <c r="W38" i="3"/>
  <c r="U38" i="7" s="1"/>
  <c r="Q34" i="4"/>
  <c r="W34" i="3"/>
  <c r="U34" i="7" s="1"/>
  <c r="Q30" i="4"/>
  <c r="W30" i="3"/>
  <c r="U30" i="7" s="1"/>
  <c r="Q26" i="4"/>
  <c r="W26" i="3"/>
  <c r="U26" i="7" s="1"/>
  <c r="Q22" i="4"/>
  <c r="W22" i="3"/>
  <c r="U22" i="7" s="1"/>
  <c r="Q18" i="4"/>
  <c r="W18" i="3"/>
  <c r="U18" i="7" s="1"/>
  <c r="Q14" i="4"/>
  <c r="W14" i="3"/>
  <c r="U14" i="7" s="1"/>
  <c r="Q10" i="4"/>
  <c r="W10" i="3"/>
  <c r="U10" i="7" s="1"/>
  <c r="Q6" i="4"/>
  <c r="W6" i="3"/>
  <c r="U6" i="7" s="1"/>
  <c r="S41" i="3"/>
  <c r="T41" i="3" s="1"/>
  <c r="S9" i="3"/>
  <c r="T9" i="3" s="1"/>
  <c r="S33" i="3"/>
  <c r="T33" i="3" s="1"/>
  <c r="S36" i="3"/>
  <c r="T36" i="3" s="1"/>
  <c r="S37" i="3"/>
  <c r="T37" i="3" s="1"/>
  <c r="S28" i="3"/>
  <c r="T28" i="3" s="1"/>
  <c r="S29" i="3"/>
  <c r="T29" i="3" s="1"/>
  <c r="S44" i="3"/>
  <c r="T44" i="3" s="1"/>
  <c r="U42" i="4"/>
  <c r="S45" i="3"/>
  <c r="T45" i="3" s="1"/>
  <c r="T51" i="3"/>
  <c r="A51" i="4"/>
  <c r="A49" i="4"/>
  <c r="A45" i="4"/>
  <c r="A41" i="4"/>
  <c r="A37" i="4"/>
  <c r="B49" i="4"/>
  <c r="B45" i="4"/>
  <c r="B41" i="4"/>
  <c r="B37" i="4"/>
  <c r="C49" i="4"/>
  <c r="C45" i="4"/>
  <c r="C41" i="4"/>
  <c r="C37" i="4"/>
  <c r="D49" i="4"/>
  <c r="D45" i="4"/>
  <c r="D41" i="4"/>
  <c r="D37" i="4"/>
  <c r="O47" i="4"/>
  <c r="O43" i="4"/>
  <c r="O39" i="4"/>
  <c r="P47" i="4"/>
  <c r="P43" i="4"/>
  <c r="P39" i="4"/>
  <c r="Q47" i="4"/>
  <c r="Q43" i="4"/>
  <c r="Q39" i="4"/>
  <c r="S47" i="4"/>
  <c r="S43" i="4"/>
  <c r="S39" i="4"/>
  <c r="T47" i="4"/>
  <c r="T43" i="4"/>
  <c r="T39" i="4"/>
  <c r="U43" i="4"/>
  <c r="D51" i="4"/>
  <c r="T51" i="4"/>
  <c r="Q51" i="4"/>
  <c r="C51" i="4"/>
  <c r="T41" i="4"/>
  <c r="A47" i="4"/>
  <c r="A43" i="4"/>
  <c r="A39" i="4"/>
  <c r="B47" i="4"/>
  <c r="B43" i="4"/>
  <c r="B39" i="4"/>
  <c r="C47" i="4"/>
  <c r="C43" i="4"/>
  <c r="C39" i="4"/>
  <c r="D47" i="4"/>
  <c r="D43" i="4"/>
  <c r="D39" i="4"/>
  <c r="O49" i="4"/>
  <c r="O45" i="4"/>
  <c r="O41" i="4"/>
  <c r="O37" i="4"/>
  <c r="P49" i="4"/>
  <c r="P45" i="4"/>
  <c r="P41" i="4"/>
  <c r="P37" i="4"/>
  <c r="Q49" i="4"/>
  <c r="Q45" i="4"/>
  <c r="Q41" i="4"/>
  <c r="Q37" i="4"/>
  <c r="S49" i="4"/>
  <c r="S45" i="4"/>
  <c r="S41" i="4"/>
  <c r="S37" i="4"/>
  <c r="T49" i="4"/>
  <c r="T45" i="4"/>
  <c r="U45" i="4"/>
  <c r="U41" i="4"/>
  <c r="S47" i="3"/>
  <c r="S43" i="3"/>
  <c r="T43" i="3" s="1"/>
  <c r="S25" i="3"/>
  <c r="U33" i="4"/>
  <c r="U25" i="4"/>
  <c r="R49" i="4"/>
  <c r="S13" i="3"/>
  <c r="R25" i="4"/>
  <c r="R9" i="4"/>
  <c r="U50" i="4"/>
  <c r="U49" i="4"/>
  <c r="U17" i="4"/>
  <c r="R41" i="4"/>
  <c r="R17" i="4"/>
  <c r="R33" i="4"/>
  <c r="U27" i="4"/>
  <c r="R44" i="4"/>
  <c r="R43" i="4"/>
  <c r="U3" i="4"/>
  <c r="S8" i="3"/>
  <c r="S5" i="3"/>
  <c r="E41" i="3"/>
  <c r="E42" i="3"/>
  <c r="E40" i="3"/>
  <c r="E39" i="3"/>
  <c r="E46" i="3"/>
  <c r="E37" i="3"/>
  <c r="E45" i="3"/>
  <c r="E44" i="3"/>
  <c r="E43" i="3"/>
  <c r="E50" i="3"/>
  <c r="E49" i="3"/>
  <c r="E48" i="3"/>
  <c r="E47" i="3"/>
  <c r="E35" i="3"/>
  <c r="E38" i="3"/>
  <c r="E23" i="3"/>
  <c r="E30" i="3"/>
  <c r="E32" i="3"/>
  <c r="E24" i="3"/>
  <c r="E31" i="3"/>
  <c r="E36" i="3"/>
  <c r="E28" i="3"/>
  <c r="E29" i="3"/>
  <c r="E27" i="3"/>
  <c r="E34" i="3"/>
  <c r="E26" i="3"/>
  <c r="E33" i="3"/>
  <c r="E25" i="3"/>
  <c r="E22" i="3"/>
  <c r="E11" i="3"/>
  <c r="U5" i="4"/>
  <c r="R45" i="4"/>
  <c r="U13" i="4"/>
  <c r="R37" i="4"/>
  <c r="R21" i="4"/>
  <c r="B6" i="4"/>
  <c r="U37" i="4"/>
  <c r="R5" i="4"/>
  <c r="R29" i="4"/>
  <c r="R13" i="4"/>
  <c r="E19" i="3"/>
  <c r="E15" i="3"/>
  <c r="E14" i="3"/>
  <c r="E13" i="3"/>
  <c r="U39" i="4"/>
  <c r="E12" i="3"/>
  <c r="U48" i="4"/>
  <c r="U32" i="4"/>
  <c r="U16" i="4"/>
  <c r="R48" i="4"/>
  <c r="R40" i="4"/>
  <c r="E18" i="3"/>
  <c r="E10" i="3"/>
  <c r="U47" i="4"/>
  <c r="U15" i="4"/>
  <c r="R47" i="4"/>
  <c r="R24" i="4"/>
  <c r="E17" i="3"/>
  <c r="E9" i="3"/>
  <c r="R8" i="4"/>
  <c r="E16" i="3"/>
  <c r="E8" i="3"/>
  <c r="E21" i="3"/>
  <c r="E20" i="3"/>
  <c r="B7" i="4"/>
  <c r="R4" i="4"/>
  <c r="R28" i="4"/>
  <c r="S39" i="3"/>
  <c r="R39" i="4"/>
  <c r="S35" i="3"/>
  <c r="R35" i="4"/>
  <c r="S31" i="3"/>
  <c r="R31" i="4"/>
  <c r="S27" i="3"/>
  <c r="R27" i="4"/>
  <c r="S23" i="3"/>
  <c r="R23" i="4"/>
  <c r="S19" i="3"/>
  <c r="R19" i="4"/>
  <c r="S15" i="3"/>
  <c r="R15" i="4"/>
  <c r="S11" i="3"/>
  <c r="R11" i="4"/>
  <c r="S7" i="3"/>
  <c r="R7" i="4"/>
  <c r="R3" i="4"/>
  <c r="U40" i="4"/>
  <c r="U24" i="4"/>
  <c r="U8" i="4"/>
  <c r="R32" i="4"/>
  <c r="R16" i="4"/>
  <c r="B5" i="4"/>
  <c r="U36" i="4"/>
  <c r="U20" i="4"/>
  <c r="R12" i="4"/>
  <c r="R36" i="4"/>
  <c r="R20" i="4"/>
  <c r="S50" i="3"/>
  <c r="S46" i="3"/>
  <c r="S42" i="3"/>
  <c r="S38" i="3"/>
  <c r="S34" i="3"/>
  <c r="S30" i="3"/>
  <c r="S18" i="3"/>
  <c r="S14" i="3"/>
  <c r="S10" i="3"/>
  <c r="S26" i="3"/>
  <c r="S22" i="3"/>
  <c r="S6" i="3"/>
  <c r="S38" i="4"/>
  <c r="S42" i="4"/>
  <c r="U34" i="4"/>
  <c r="U30" i="4"/>
  <c r="U26" i="4"/>
  <c r="U22" i="4"/>
  <c r="U18" i="4"/>
  <c r="U14" i="4"/>
  <c r="U10" i="4"/>
  <c r="U6" i="4"/>
  <c r="T37" i="4"/>
  <c r="T33" i="4"/>
  <c r="T29" i="4"/>
  <c r="T25" i="4"/>
  <c r="T21" i="4"/>
  <c r="T17" i="4"/>
  <c r="T13" i="4"/>
  <c r="T9" i="4"/>
  <c r="R40" i="7" l="1"/>
  <c r="S40" i="9"/>
  <c r="R12" i="7"/>
  <c r="S12" i="9"/>
  <c r="R3" i="7"/>
  <c r="S3" i="9"/>
  <c r="R37" i="7"/>
  <c r="S37" i="9"/>
  <c r="R36" i="7"/>
  <c r="S36" i="9"/>
  <c r="R4" i="7"/>
  <c r="S4" i="9"/>
  <c r="R20" i="7"/>
  <c r="S20" i="9"/>
  <c r="R45" i="7"/>
  <c r="S45" i="9"/>
  <c r="R28" i="7"/>
  <c r="S28" i="9"/>
  <c r="R9" i="7"/>
  <c r="S9" i="9"/>
  <c r="R21" i="7"/>
  <c r="S21" i="9"/>
  <c r="R24" i="7"/>
  <c r="S24" i="9"/>
  <c r="R41" i="7"/>
  <c r="S41" i="9"/>
  <c r="R32" i="7"/>
  <c r="S32" i="9"/>
  <c r="R44" i="7"/>
  <c r="S44" i="9"/>
  <c r="R17" i="7"/>
  <c r="S17" i="9"/>
  <c r="R16" i="7"/>
  <c r="S16" i="9"/>
  <c r="R48" i="7"/>
  <c r="S48" i="9"/>
  <c r="R43" i="7"/>
  <c r="S43" i="9"/>
  <c r="R51" i="7"/>
  <c r="S51" i="9"/>
  <c r="R29" i="7"/>
  <c r="S29" i="9"/>
  <c r="R33" i="7"/>
  <c r="S33" i="9"/>
  <c r="R49" i="7"/>
  <c r="S49" i="9"/>
  <c r="W44" i="4"/>
  <c r="W41" i="4"/>
  <c r="W33" i="4"/>
  <c r="W32" i="4"/>
  <c r="W29" i="4"/>
  <c r="W28" i="4"/>
  <c r="W24" i="4"/>
  <c r="W21" i="4"/>
  <c r="W20" i="4"/>
  <c r="W17" i="4"/>
  <c r="W16" i="4"/>
  <c r="W12" i="4"/>
  <c r="W9" i="4"/>
  <c r="T47" i="3"/>
  <c r="W48" i="4"/>
  <c r="W36" i="4"/>
  <c r="W45" i="4"/>
  <c r="W49" i="4"/>
  <c r="W37" i="4"/>
  <c r="W43" i="4"/>
  <c r="X41" i="4"/>
  <c r="V40" i="4"/>
  <c r="V36" i="4"/>
  <c r="X25" i="4"/>
  <c r="X29" i="4"/>
  <c r="X45" i="4"/>
  <c r="V20" i="4"/>
  <c r="V48" i="4"/>
  <c r="V7" i="4"/>
  <c r="X15" i="4"/>
  <c r="V23" i="4"/>
  <c r="V31" i="4"/>
  <c r="X21" i="4"/>
  <c r="V12" i="4"/>
  <c r="V8" i="4"/>
  <c r="X13" i="4"/>
  <c r="X9" i="4"/>
  <c r="X33" i="4"/>
  <c r="V49" i="4"/>
  <c r="X28" i="4"/>
  <c r="V47" i="4"/>
  <c r="V16" i="4"/>
  <c r="V3" i="4"/>
  <c r="X17" i="4"/>
  <c r="V37" i="4"/>
  <c r="V32" i="4"/>
  <c r="V11" i="4"/>
  <c r="V19" i="4"/>
  <c r="X27" i="4"/>
  <c r="V35" i="4"/>
  <c r="V24" i="4"/>
  <c r="V5" i="4"/>
  <c r="V4" i="4"/>
  <c r="V44" i="4"/>
  <c r="T25" i="3"/>
  <c r="T13" i="3"/>
  <c r="X3" i="4"/>
  <c r="X4" i="4"/>
  <c r="T8" i="3"/>
  <c r="T5" i="3"/>
  <c r="AA5" i="4"/>
  <c r="X36" i="4"/>
  <c r="V27" i="4"/>
  <c r="V28" i="4"/>
  <c r="V25" i="4"/>
  <c r="X37" i="4"/>
  <c r="X31" i="4"/>
  <c r="V33" i="4"/>
  <c r="X35" i="4"/>
  <c r="T31" i="3"/>
  <c r="X49" i="4"/>
  <c r="T23" i="3"/>
  <c r="X23" i="4"/>
  <c r="X20" i="4"/>
  <c r="V21" i="4"/>
  <c r="T19" i="3"/>
  <c r="X19" i="4"/>
  <c r="V15" i="4"/>
  <c r="T15" i="3"/>
  <c r="X11" i="4"/>
  <c r="V9" i="4"/>
  <c r="X7" i="4"/>
  <c r="X12" i="4"/>
  <c r="X48" i="4"/>
  <c r="V17" i="4"/>
  <c r="T7" i="3"/>
  <c r="V41" i="4"/>
  <c r="T27" i="3"/>
  <c r="T35" i="3"/>
  <c r="X8" i="4"/>
  <c r="X16" i="4"/>
  <c r="X24" i="4"/>
  <c r="X32" i="4"/>
  <c r="X40" i="4"/>
  <c r="V13" i="4"/>
  <c r="V29" i="4"/>
  <c r="V45" i="4"/>
  <c r="AA43" i="4"/>
  <c r="T39" i="3"/>
  <c r="T11" i="3"/>
  <c r="X5" i="4"/>
  <c r="AA48" i="4"/>
  <c r="AA16" i="4"/>
  <c r="AA32" i="4"/>
  <c r="AA47" i="4"/>
  <c r="AA10" i="4"/>
  <c r="AA34" i="4"/>
  <c r="AA17" i="4"/>
  <c r="AA25" i="4"/>
  <c r="AA24" i="4"/>
  <c r="AA38" i="4"/>
  <c r="AA8" i="4"/>
  <c r="AA36" i="4"/>
  <c r="AA18" i="4"/>
  <c r="AA42" i="4"/>
  <c r="AA28" i="4"/>
  <c r="AA49" i="4"/>
  <c r="AA9" i="4"/>
  <c r="AA13" i="4"/>
  <c r="AA41" i="4"/>
  <c r="AA22" i="4"/>
  <c r="AA50" i="4"/>
  <c r="AA45" i="4"/>
  <c r="AA26" i="4"/>
  <c r="AA14" i="4"/>
  <c r="AA44" i="4"/>
  <c r="AA21" i="4"/>
  <c r="AA29" i="4"/>
  <c r="AA6" i="4"/>
  <c r="AA30" i="4"/>
  <c r="AA46" i="4"/>
  <c r="AA12" i="4"/>
  <c r="AA33" i="4"/>
  <c r="AA20" i="4"/>
  <c r="AA40" i="4"/>
  <c r="AA37" i="4"/>
  <c r="T38" i="3"/>
  <c r="X39" i="4"/>
  <c r="T18" i="3"/>
  <c r="T42" i="3"/>
  <c r="T6" i="3"/>
  <c r="T30" i="3"/>
  <c r="T46" i="3"/>
  <c r="X47" i="4"/>
  <c r="T26" i="3"/>
  <c r="T14" i="3"/>
  <c r="T22" i="3"/>
  <c r="T10" i="3"/>
  <c r="T34" i="3"/>
  <c r="T50" i="3"/>
  <c r="R50" i="7" l="1"/>
  <c r="S50" i="9"/>
  <c r="R14" i="7"/>
  <c r="S14" i="9"/>
  <c r="R31" i="7"/>
  <c r="S31" i="9"/>
  <c r="R47" i="7"/>
  <c r="S47" i="9"/>
  <c r="R26" i="7"/>
  <c r="S26" i="9"/>
  <c r="R38" i="7"/>
  <c r="S38" i="9"/>
  <c r="R35" i="7"/>
  <c r="S35" i="9"/>
  <c r="R10" i="7"/>
  <c r="S10" i="9"/>
  <c r="R42" i="7"/>
  <c r="S42" i="9"/>
  <c r="R11" i="7"/>
  <c r="S11" i="9"/>
  <c r="R27" i="7"/>
  <c r="S27" i="9"/>
  <c r="R19" i="7"/>
  <c r="S19" i="9"/>
  <c r="R23" i="7"/>
  <c r="S23" i="9"/>
  <c r="R5" i="7"/>
  <c r="S5" i="9"/>
  <c r="R13" i="7"/>
  <c r="S13" i="9"/>
  <c r="R30" i="7"/>
  <c r="S30" i="9"/>
  <c r="R7" i="7"/>
  <c r="S7" i="9"/>
  <c r="R34" i="7"/>
  <c r="S34" i="9"/>
  <c r="R6" i="7"/>
  <c r="S6" i="9"/>
  <c r="R22" i="7"/>
  <c r="S22" i="9"/>
  <c r="R46" i="7"/>
  <c r="S46" i="9"/>
  <c r="R18" i="7"/>
  <c r="S18" i="9"/>
  <c r="R39" i="7"/>
  <c r="S39" i="9"/>
  <c r="R15" i="7"/>
  <c r="S15" i="9"/>
  <c r="R8" i="7"/>
  <c r="S8" i="9"/>
  <c r="R25" i="7"/>
  <c r="S25" i="9"/>
  <c r="W46" i="4"/>
  <c r="W42" i="4"/>
  <c r="W39" i="4"/>
  <c r="W38" i="4"/>
  <c r="W35" i="4"/>
  <c r="W34" i="4"/>
  <c r="W31" i="4"/>
  <c r="W30" i="4"/>
  <c r="W27" i="4"/>
  <c r="W26" i="4"/>
  <c r="W25" i="4"/>
  <c r="W23" i="4"/>
  <c r="W22" i="4"/>
  <c r="W19" i="4"/>
  <c r="W18" i="4"/>
  <c r="W15" i="4"/>
  <c r="W14" i="4"/>
  <c r="W13" i="4"/>
  <c r="W11" i="4"/>
  <c r="W10" i="4"/>
  <c r="W8" i="4"/>
  <c r="W7" i="4"/>
  <c r="W6" i="4"/>
  <c r="W5" i="4"/>
  <c r="V39" i="4"/>
  <c r="X44" i="4"/>
  <c r="W40" i="4"/>
  <c r="W50" i="4"/>
  <c r="W51" i="4"/>
  <c r="X51" i="4"/>
  <c r="V51" i="4"/>
  <c r="W47" i="4"/>
  <c r="V43" i="4"/>
  <c r="X43" i="4"/>
  <c r="AA39" i="4"/>
  <c r="AA35" i="4"/>
  <c r="AA23" i="4"/>
  <c r="AA15" i="4"/>
  <c r="AA7" i="4"/>
  <c r="AA27" i="4"/>
  <c r="AA19" i="4"/>
  <c r="AA31" i="4"/>
  <c r="AA11" i="4"/>
  <c r="V14" i="4"/>
  <c r="X14" i="4"/>
  <c r="V10" i="4"/>
  <c r="X10" i="4"/>
  <c r="V6" i="4"/>
  <c r="X6" i="4"/>
  <c r="V34" i="4"/>
  <c r="X34" i="4"/>
  <c r="V22" i="4"/>
  <c r="X22" i="4"/>
  <c r="V26" i="4"/>
  <c r="X26" i="4"/>
  <c r="V30" i="4"/>
  <c r="X30" i="4"/>
  <c r="V42" i="4"/>
  <c r="X42" i="4"/>
  <c r="V38" i="4"/>
  <c r="X38" i="4"/>
  <c r="V50" i="4"/>
  <c r="X50" i="4"/>
  <c r="V46" i="4"/>
  <c r="X46" i="4"/>
  <c r="V18" i="4"/>
  <c r="X18" i="4"/>
  <c r="W3" i="4" l="1"/>
  <c r="C4" i="4"/>
  <c r="A3" i="4"/>
  <c r="A4" i="4"/>
  <c r="J19" i="2"/>
  <c r="J18" i="2"/>
  <c r="J17" i="2"/>
  <c r="J16" i="2"/>
  <c r="J15" i="2"/>
  <c r="O15" i="2"/>
  <c r="J14" i="2"/>
  <c r="O14" i="2"/>
  <c r="J13" i="2"/>
  <c r="E13" i="2"/>
  <c r="O13" i="2"/>
  <c r="J12" i="2"/>
  <c r="E12" i="2"/>
  <c r="O12" i="2"/>
  <c r="J11" i="2"/>
  <c r="E11" i="2"/>
  <c r="O11" i="2"/>
  <c r="J10" i="2"/>
  <c r="E10" i="2"/>
  <c r="O10" i="2"/>
  <c r="J9" i="2"/>
  <c r="E9" i="2"/>
  <c r="O9" i="2"/>
  <c r="J8" i="2"/>
  <c r="E8" i="2"/>
  <c r="O8" i="2"/>
  <c r="E7" i="2"/>
  <c r="O7" i="2"/>
  <c r="J6" i="2"/>
  <c r="E6" i="2"/>
  <c r="O6" i="2"/>
  <c r="J5" i="2"/>
  <c r="E5" i="2"/>
  <c r="O4" i="2"/>
  <c r="E4" i="2"/>
  <c r="B4" i="4" l="1"/>
  <c r="B3" i="4"/>
  <c r="W4" i="4"/>
</calcChain>
</file>

<file path=xl/sharedStrings.xml><?xml version="1.0" encoding="utf-8"?>
<sst xmlns="http://schemas.openxmlformats.org/spreadsheetml/2006/main" count="1990" uniqueCount="339">
  <si>
    <t>Link</t>
  </si>
  <si>
    <t>Level</t>
  </si>
  <si>
    <t>Sl.No</t>
  </si>
  <si>
    <t>Group</t>
  </si>
  <si>
    <t>Process</t>
  </si>
  <si>
    <t>Integration Pattern</t>
  </si>
  <si>
    <t>Current State</t>
  </si>
  <si>
    <t>End State</t>
  </si>
  <si>
    <t>MVP</t>
  </si>
  <si>
    <t>Confidence Factor</t>
  </si>
  <si>
    <t>Count of Invocations</t>
  </si>
  <si>
    <t>DB Calls (ms)</t>
  </si>
  <si>
    <t>Logic (ms)</t>
  </si>
  <si>
    <t>Rules (ms)</t>
  </si>
  <si>
    <t>Latency (ms)</t>
  </si>
  <si>
    <t>Process NFR</t>
  </si>
  <si>
    <t>Claim Adjudication</t>
  </si>
  <si>
    <t>Business Process</t>
  </si>
  <si>
    <t>-</t>
  </si>
  <si>
    <t>TBD</t>
  </si>
  <si>
    <t>Y</t>
  </si>
  <si>
    <t>G</t>
  </si>
  <si>
    <t>Name</t>
  </si>
  <si>
    <t>category</t>
  </si>
  <si>
    <t>provider</t>
  </si>
  <si>
    <t xml:space="preserve">Name </t>
  </si>
  <si>
    <t xml:space="preserve"> connectionType</t>
  </si>
  <si>
    <t>etaStatus</t>
  </si>
  <si>
    <t>confidenceLevel</t>
  </si>
  <si>
    <t>yesNo</t>
  </si>
  <si>
    <t>Description</t>
  </si>
  <si>
    <t>Provider</t>
  </si>
  <si>
    <t>Integration Patterns - Connection Type</t>
  </si>
  <si>
    <t>On Target or off Target</t>
  </si>
  <si>
    <t>Confidence Level</t>
  </si>
  <si>
    <t>ChoiceYesNo</t>
  </si>
  <si>
    <t>CategoryName</t>
  </si>
  <si>
    <t>CategoryCode</t>
  </si>
  <si>
    <t>Color</t>
  </si>
  <si>
    <t>CategoryDescription</t>
  </si>
  <si>
    <t>ParticipantName</t>
  </si>
  <si>
    <t>ParticipantCode</t>
  </si>
  <si>
    <t>ParticipantDescription</t>
  </si>
  <si>
    <t>IntegrationPatternName</t>
  </si>
  <si>
    <t>IntegrationPatternCode</t>
  </si>
  <si>
    <t>IntegrationPatternDescription</t>
  </si>
  <si>
    <t>MetricsStatusCode</t>
  </si>
  <si>
    <t>MetricsStatusDescription</t>
  </si>
  <si>
    <t>ConfidenceLevel</t>
  </si>
  <si>
    <t>ConfidenceLevelDescription</t>
  </si>
  <si>
    <t>Yes/No/Unknown</t>
  </si>
  <si>
    <t>CC000</t>
  </si>
  <si>
    <t>PP000</t>
  </si>
  <si>
    <t>Antique White</t>
  </si>
  <si>
    <t>IP000</t>
  </si>
  <si>
    <t>bTrue</t>
  </si>
  <si>
    <t>On Target</t>
  </si>
  <si>
    <t>H</t>
  </si>
  <si>
    <t>Hot Pink</t>
  </si>
  <si>
    <t>High</t>
  </si>
  <si>
    <t>#Df0e62</t>
  </si>
  <si>
    <t>Yes</t>
  </si>
  <si>
    <t>PCF</t>
  </si>
  <si>
    <t>CC001</t>
  </si>
  <si>
    <t>Key-Claims Adjudication</t>
  </si>
  <si>
    <t>PP001</t>
  </si>
  <si>
    <t>Tomato</t>
  </si>
  <si>
    <t>IP001</t>
  </si>
  <si>
    <t>bfalse</t>
  </si>
  <si>
    <t>Off Target</t>
  </si>
  <si>
    <t>M</t>
  </si>
  <si>
    <t>Indian Red</t>
  </si>
  <si>
    <t>Medium</t>
  </si>
  <si>
    <t>N</t>
  </si>
  <si>
    <t>#fac70b</t>
  </si>
  <si>
    <t>No</t>
  </si>
  <si>
    <t>Mule ESB</t>
  </si>
  <si>
    <t>CC002</t>
  </si>
  <si>
    <t>Key-Contract Authoring</t>
  </si>
  <si>
    <t>PP002</t>
  </si>
  <si>
    <t>Turquoise</t>
  </si>
  <si>
    <t>IP002</t>
  </si>
  <si>
    <t>NA</t>
  </si>
  <si>
    <t>Not Defined</t>
  </si>
  <si>
    <t>L</t>
  </si>
  <si>
    <t>Ivory</t>
  </si>
  <si>
    <t>Low</t>
  </si>
  <si>
    <t>#f3a333</t>
  </si>
  <si>
    <t>TBD/Unknown</t>
  </si>
  <si>
    <t>Mule API Gateway</t>
  </si>
  <si>
    <t>CC003</t>
  </si>
  <si>
    <t>Key-Claims UI</t>
  </si>
  <si>
    <t>PP003</t>
  </si>
  <si>
    <t>Voilet</t>
  </si>
  <si>
    <t xml:space="preserve">REST Service - MQ </t>
  </si>
  <si>
    <t>IP003</t>
  </si>
  <si>
    <t>Slate Gray</t>
  </si>
  <si>
    <t>Legacy BC</t>
  </si>
  <si>
    <t>CC004</t>
  </si>
  <si>
    <t>Claims-Legacy</t>
  </si>
  <si>
    <t>PP004</t>
  </si>
  <si>
    <t>Wheat</t>
  </si>
  <si>
    <t>IP004</t>
  </si>
  <si>
    <t>CC005</t>
  </si>
  <si>
    <t>Claims-Modernized</t>
  </si>
  <si>
    <t>PP005</t>
  </si>
  <si>
    <t>Rebecca Purple</t>
  </si>
  <si>
    <t>IP005</t>
  </si>
  <si>
    <t>Cross-Product</t>
  </si>
  <si>
    <t>CC006</t>
  </si>
  <si>
    <t>Claims-DDE</t>
  </si>
  <si>
    <t>PP006</t>
  </si>
  <si>
    <t>Saddle Brown</t>
  </si>
  <si>
    <t>IP006</t>
  </si>
  <si>
    <t>Cross-Portfolio</t>
  </si>
  <si>
    <t>CC007</t>
  </si>
  <si>
    <t>Claims-Shared Accums</t>
  </si>
  <si>
    <t>PP007</t>
  </si>
  <si>
    <t>Salmon</t>
  </si>
  <si>
    <t>IP007</t>
  </si>
  <si>
    <t>External</t>
  </si>
  <si>
    <t>CC008</t>
  </si>
  <si>
    <t>Customer Engagement</t>
  </si>
  <si>
    <t>PP008</t>
  </si>
  <si>
    <t>Shady Brown</t>
  </si>
  <si>
    <t>REST Service - API</t>
  </si>
  <si>
    <t>IP008</t>
  </si>
  <si>
    <t>CC009</t>
  </si>
  <si>
    <t>EMPCO</t>
  </si>
  <si>
    <t>PP009</t>
  </si>
  <si>
    <t>Sea Green</t>
  </si>
  <si>
    <t>REST Service - SOAP Service</t>
  </si>
  <si>
    <t>IP009</t>
  </si>
  <si>
    <t>PP010</t>
  </si>
  <si>
    <t>Teal</t>
  </si>
  <si>
    <t>API - REST Service</t>
  </si>
  <si>
    <t>IP010</t>
  </si>
  <si>
    <t>FEP</t>
  </si>
  <si>
    <t>PP011</t>
  </si>
  <si>
    <t>Thistle</t>
  </si>
  <si>
    <t>BC Internal</t>
  </si>
  <si>
    <t>External-PBMs/IPAs</t>
  </si>
  <si>
    <t>PP012</t>
  </si>
  <si>
    <t>Digital</t>
  </si>
  <si>
    <t>PP013</t>
  </si>
  <si>
    <t>Aqua</t>
  </si>
  <si>
    <t>Unknown</t>
  </si>
  <si>
    <t>PP014</t>
  </si>
  <si>
    <t>Hosted Platform</t>
  </si>
  <si>
    <t>Consumer</t>
  </si>
  <si>
    <t>Index</t>
  </si>
  <si>
    <t>Details</t>
  </si>
  <si>
    <t xml:space="preserve">Process </t>
  </si>
  <si>
    <t>PP015</t>
  </si>
  <si>
    <t>Other</t>
  </si>
  <si>
    <t>Gray</t>
  </si>
  <si>
    <t>Time of Function / Call</t>
  </si>
  <si>
    <t>Total Process Time</t>
  </si>
  <si>
    <t>Total Process Path Length</t>
  </si>
  <si>
    <t>Total Process Path Length NFR</t>
  </si>
  <si>
    <t>Difference</t>
  </si>
  <si>
    <t>Status</t>
  </si>
  <si>
    <t>Notes</t>
  </si>
  <si>
    <t>RTIS</t>
  </si>
  <si>
    <t>Calulations</t>
  </si>
  <si>
    <t>SR No</t>
  </si>
  <si>
    <t>Not Set</t>
  </si>
  <si>
    <t>Eligibility</t>
  </si>
  <si>
    <t>Service Level</t>
  </si>
  <si>
    <t>Claim Release</t>
  </si>
  <si>
    <t>Eligibility Mainline</t>
  </si>
  <si>
    <t>Eligibility Orchestrator</t>
  </si>
  <si>
    <t>Reference Lookup Microservice</t>
  </si>
  <si>
    <t>Claim Member Microservice</t>
  </si>
  <si>
    <t>Provider Match &amp; Eligibility Microservice</t>
  </si>
  <si>
    <t>Claim Provider Microservice</t>
  </si>
  <si>
    <t>Eligibility Lock Microservice</t>
  </si>
  <si>
    <t>Claim Adjudication Primier Microservice</t>
  </si>
  <si>
    <t>Benefit Determination Service</t>
  </si>
  <si>
    <t>Contract API</t>
  </si>
  <si>
    <t>Accums Calculation Microservice</t>
  </si>
  <si>
    <t>Claim Pend Process</t>
  </si>
  <si>
    <t>Claim Release - Update Keystone Ledger 2.0</t>
  </si>
  <si>
    <t>Mule Eligibility Adapter</t>
  </si>
  <si>
    <t xml:space="preserve">New Born Update </t>
  </si>
  <si>
    <t>Claim Adjudication Sequencer Microservice</t>
  </si>
  <si>
    <t>Service Level - BD</t>
  </si>
  <si>
    <t xml:space="preserve">BD </t>
  </si>
  <si>
    <t>Service Level - Pricing Engine</t>
  </si>
  <si>
    <t xml:space="preserve">Pricing </t>
  </si>
  <si>
    <t>Service Level - Accums</t>
  </si>
  <si>
    <t>Accums</t>
  </si>
  <si>
    <t>Pricing Engine Microservice</t>
  </si>
  <si>
    <t>Primier Pricer Service</t>
  </si>
  <si>
    <t>Claim Pricer Service</t>
  </si>
  <si>
    <t>UPF (National Modules) Integration</t>
  </si>
  <si>
    <t>AOC Vendor Request Service</t>
  </si>
  <si>
    <t>AOC Vendor Response Service</t>
  </si>
  <si>
    <t>ESB - MQ Integration</t>
  </si>
  <si>
    <t>ESB - CTG Integration</t>
  </si>
  <si>
    <t>ESB - REST Service</t>
  </si>
  <si>
    <t>REST Service - ESB</t>
  </si>
  <si>
    <t>A</t>
  </si>
  <si>
    <t>B</t>
  </si>
  <si>
    <t>C</t>
  </si>
  <si>
    <t>D</t>
  </si>
  <si>
    <t>E</t>
  </si>
  <si>
    <t>F</t>
  </si>
  <si>
    <t>I</t>
  </si>
  <si>
    <t>J</t>
  </si>
  <si>
    <t>K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</si>
  <si>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</si>
  <si>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</si>
  <si>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</si>
  <si>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</si>
  <si>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</si>
  <si>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</si>
  <si>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</si>
  <si>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</si>
  <si>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</si>
  <si>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</si>
  <si>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</si>
  <si>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Q = M+N+O+P</t>
  </si>
  <si>
    <t>P = L*Q</t>
  </si>
  <si>
    <t>Roll up</t>
  </si>
  <si>
    <t>Estimated</t>
  </si>
  <si>
    <t>Is Leaf?</t>
  </si>
  <si>
    <t>Column1</t>
  </si>
  <si>
    <t>Is Leaf ?</t>
  </si>
  <si>
    <t>DME Event Validation Service</t>
  </si>
  <si>
    <t>Medical Policy Check Service</t>
  </si>
  <si>
    <t>Claim Provider Service</t>
  </si>
  <si>
    <t>NPI Crosswalk Service</t>
  </si>
  <si>
    <t>Service Disposition &amp; Pre-Auth Service</t>
  </si>
  <si>
    <t>Service Eligibility &amp; PreAuth Rules Service</t>
  </si>
  <si>
    <t>Service Category Determination Service</t>
  </si>
  <si>
    <t>Premier Bits API</t>
  </si>
  <si>
    <t>Service Category to Benefit Provision</t>
  </si>
  <si>
    <t>PNDS Service</t>
  </si>
  <si>
    <t>DME Calculation Microservice</t>
  </si>
  <si>
    <t>Accums Utilization Microservice</t>
  </si>
  <si>
    <t>Accums Utilization Inquiry Microservice</t>
  </si>
  <si>
    <t>Accums ID Lookup Service</t>
  </si>
  <si>
    <t>DME Event Validation Lookup Service</t>
  </si>
  <si>
    <t>Owner</t>
  </si>
  <si>
    <t>Service Mainline</t>
  </si>
  <si>
    <t>JB</t>
  </si>
  <si>
    <t>Alak</t>
  </si>
  <si>
    <t>Sankar</t>
  </si>
  <si>
    <t>Greg</t>
  </si>
  <si>
    <t>TPL Microservice</t>
  </si>
  <si>
    <t>Legacy Modernized</t>
  </si>
  <si>
    <t>PCF Internal (C-to-C)</t>
  </si>
  <si>
    <t>Claim Release BC</t>
  </si>
  <si>
    <t>Total Process NFR</t>
  </si>
  <si>
    <t>CRIMSON</t>
  </si>
  <si>
    <t>GOLD</t>
  </si>
  <si>
    <t>YELLOWGREEN</t>
  </si>
  <si>
    <t>DEEPSKYBLUE</t>
  </si>
  <si>
    <t>LAWNGREEN</t>
  </si>
  <si>
    <t>DODGERBLUE</t>
  </si>
  <si>
    <t>TURQUOISE</t>
  </si>
  <si>
    <t>CORNFLOWERBLUE</t>
  </si>
  <si>
    <t>MEDIUMSLATEBLUE</t>
  </si>
  <si>
    <t>POWDERBLUE</t>
  </si>
  <si>
    <t>ROSYBROWN</t>
  </si>
  <si>
    <t>LIMEGREEN</t>
  </si>
  <si>
    <t>LIGHTSKYBLUE</t>
  </si>
  <si>
    <t>MISTYROSE</t>
  </si>
  <si>
    <t>BLUEVIOLET</t>
  </si>
  <si>
    <t>OLIVEDRAB</t>
  </si>
  <si>
    <t>SALMON</t>
  </si>
  <si>
    <t>LIGHTSLATEGRAY</t>
  </si>
  <si>
    <t>Legacy Medical Policy Check</t>
  </si>
  <si>
    <t>CHOCOLATE</t>
  </si>
  <si>
    <t>MAGENTA</t>
  </si>
  <si>
    <t>PEACHPUFF</t>
  </si>
  <si>
    <t>01-Business Process</t>
  </si>
  <si>
    <t>02-Legacy BC</t>
  </si>
  <si>
    <t>03-Mule ESB</t>
  </si>
  <si>
    <t>04-PCF</t>
  </si>
  <si>
    <t>05-Mule API Gateway</t>
  </si>
  <si>
    <t>06-Legacy Modernized</t>
  </si>
  <si>
    <t>07-Cross-Product</t>
  </si>
  <si>
    <t>08-Cross-Portfolio</t>
  </si>
  <si>
    <t>09-External</t>
  </si>
  <si>
    <t>10-Not Defined</t>
  </si>
  <si>
    <t>Member Match &amp; Eligibility Microservice</t>
  </si>
  <si>
    <t>DARKKHAKI</t>
  </si>
  <si>
    <t>NFR</t>
  </si>
  <si>
    <t>Actual</t>
  </si>
  <si>
    <t>*RTIS</t>
  </si>
  <si>
    <t>**Eligibility</t>
  </si>
  <si>
    <t>***Eligibility Mainline</t>
  </si>
  <si>
    <t>****Mule Eligibility Adapter</t>
  </si>
  <si>
    <t>*****Eligibility Orchestrator</t>
  </si>
  <si>
    <t>******Member Match &amp; Eligibility Microservice</t>
  </si>
  <si>
    <t>*******Reference Lookup Microservice</t>
  </si>
  <si>
    <t>*******Contract API</t>
  </si>
  <si>
    <t>*******Claim Member Microservice</t>
  </si>
  <si>
    <t xml:space="preserve">*******New Born Update </t>
  </si>
  <si>
    <t>******Provider Match &amp; Eligibility Microservice</t>
  </si>
  <si>
    <t>*******Claim Provider Microservice</t>
  </si>
  <si>
    <t>******Eligibility Lock Microservice</t>
  </si>
  <si>
    <t>Keystone PANS Service(Adj. Path)</t>
  </si>
  <si>
    <t>Claim Level</t>
  </si>
  <si>
    <t>Claim Mainline</t>
  </si>
  <si>
    <t>Ignoring DME claims</t>
  </si>
  <si>
    <t>Claim Lookup Service(Claim History Service)</t>
  </si>
  <si>
    <t>Ignoring New Born Case</t>
  </si>
  <si>
    <t xml:space="preserve">Service Level Mule Adapter </t>
  </si>
  <si>
    <t>Medical Policy Mule Adapter</t>
  </si>
  <si>
    <t>TPL Mule Adapter</t>
  </si>
  <si>
    <t>ARIS Mule Adapter</t>
  </si>
  <si>
    <t>UPF (National Modules) Mule Adapter</t>
  </si>
  <si>
    <t>Legacy Claims Xten</t>
  </si>
  <si>
    <t>Claims Xten Mule Adapter</t>
  </si>
  <si>
    <t>TPL Select</t>
  </si>
  <si>
    <t>Medicare Microservice</t>
  </si>
  <si>
    <t xml:space="preserve">Medicare Mule Adapter </t>
  </si>
  <si>
    <t>Service Level - Medicare</t>
  </si>
  <si>
    <t>Primier Pricer API</t>
  </si>
  <si>
    <t>ITS Module</t>
  </si>
  <si>
    <t>ARIS Module</t>
  </si>
  <si>
    <t>Medicare Legacy Module</t>
  </si>
  <si>
    <t>UPF (National Modules) Module</t>
  </si>
  <si>
    <t>Medicare</t>
  </si>
  <si>
    <t>Post TPL</t>
  </si>
  <si>
    <t>TPL Legacy Module</t>
  </si>
  <si>
    <t>Invoker</t>
  </si>
  <si>
    <t>ClaimsXten Microservice</t>
  </si>
  <si>
    <t>`</t>
  </si>
  <si>
    <t>Hosted Name</t>
  </si>
  <si>
    <t>Status Code</t>
  </si>
  <si>
    <t>Process Name</t>
  </si>
  <si>
    <t>Integration Pattern Code</t>
  </si>
  <si>
    <t>Consumer Code</t>
  </si>
  <si>
    <t>Provider Code</t>
  </si>
  <si>
    <t>Hosted Platform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</si>
</sst>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rgb="FF8EA9DB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" fillId="5" borderId="0" applyNumberFormat="0" applyBorder="0" applyAlignment="0" applyProtection="0"/>
  </cellStyleXfs>
  <cellXfs count="50">
    <xf numFmtId="0" fontId="0" fillId="0" borderId="0" xfId="0"/>
    <xf numFmtId="0" fontId="4" fillId="6" borderId="4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/>
    </xf>
    <xf numFmtId="0" fontId="4" fillId="7" borderId="3" xfId="0" applyFont="1" applyFill="1" applyBorder="1" applyAlignment="1">
      <alignment horizontal="left" vertical="top" wrapText="1"/>
    </xf>
    <xf numFmtId="0" fontId="4" fillId="7" borderId="4" xfId="0" applyFont="1" applyFill="1" applyBorder="1" applyAlignment="1">
      <alignment horizontal="left" vertical="top" wrapText="1"/>
    </xf>
    <xf numFmtId="0" fontId="4" fillId="7" borderId="4" xfId="0" applyFont="1" applyFill="1" applyBorder="1" applyAlignment="1">
      <alignment horizontal="center" vertical="top" wrapText="1"/>
    </xf>
    <xf numFmtId="0" fontId="0" fillId="0" borderId="0" xfId="0" applyNumberFormat="1"/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5" borderId="0" xfId="4" applyFont="1" applyAlignment="1">
      <alignment horizontal="center" wrapText="1"/>
    </xf>
    <xf numFmtId="0" fontId="3" fillId="3" borderId="9" xfId="2" applyBorder="1" applyAlignment="1">
      <alignment horizontal="center" wrapText="1"/>
    </xf>
    <xf numFmtId="0" fontId="0" fillId="4" borderId="6" xfId="3" applyFont="1" applyBorder="1" applyAlignment="1">
      <alignment wrapText="1"/>
    </xf>
    <xf numFmtId="0" fontId="0" fillId="4" borderId="7" xfId="3" applyFont="1" applyBorder="1" applyAlignment="1">
      <alignment wrapText="1"/>
    </xf>
    <xf numFmtId="0" fontId="2" fillId="2" borderId="8" xfId="1" applyBorder="1" applyAlignment="1">
      <alignment wrapText="1"/>
    </xf>
    <xf numFmtId="0" fontId="2" fillId="2" borderId="0" xfId="1" applyAlignment="1">
      <alignment wrapText="1"/>
    </xf>
    <xf numFmtId="0" fontId="0" fillId="5" borderId="0" xfId="4" applyFont="1" applyAlignment="1">
      <alignment wrapText="1"/>
    </xf>
    <xf numFmtId="0" fontId="1" fillId="5" borderId="0" xfId="4" applyAlignment="1">
      <alignment wrapText="1"/>
    </xf>
    <xf numFmtId="0" fontId="0" fillId="8" borderId="0" xfId="0" applyFill="1" applyAlignment="1">
      <alignment wrapText="1"/>
    </xf>
    <xf numFmtId="0" fontId="0" fillId="8" borderId="0" xfId="0" applyNumberFormat="1" applyFill="1" applyAlignment="1">
      <alignment wrapText="1"/>
    </xf>
    <xf numFmtId="0" fontId="0" fillId="8" borderId="0" xfId="4" applyFont="1" applyFill="1" applyAlignment="1">
      <alignment wrapText="1"/>
    </xf>
    <xf numFmtId="0" fontId="3" fillId="3" borderId="1" xfId="2" applyAlignment="1">
      <alignment horizontal="center" vertical="center" wrapText="1"/>
    </xf>
    <xf numFmtId="0" fontId="3" fillId="3" borderId="9" xfId="2" applyBorder="1" applyAlignment="1">
      <alignment horizontal="center" vertical="center" wrapText="1"/>
    </xf>
    <xf numFmtId="0" fontId="4" fillId="7" borderId="11" xfId="0" applyFont="1" applyFill="1" applyBorder="1" applyAlignment="1">
      <alignment horizontal="left" vertical="top" wrapText="1"/>
    </xf>
    <xf numFmtId="0" fontId="0" fillId="0" borderId="0" xfId="0" applyNumberFormat="1" applyFill="1" applyAlignment="1">
      <alignment wrapText="1"/>
    </xf>
    <xf numFmtId="0" fontId="7" fillId="0" borderId="0" xfId="0" applyFont="1"/>
    <xf numFmtId="0" fontId="3" fillId="3" borderId="0" xfId="2" applyBorder="1" applyAlignment="1">
      <alignment horizontal="center" wrapText="1"/>
    </xf>
    <xf numFmtId="0" fontId="0" fillId="9" borderId="12" xfId="0" applyFont="1" applyFill="1" applyBorder="1"/>
    <xf numFmtId="0" fontId="0" fillId="0" borderId="12" xfId="0" applyFont="1" applyBorder="1"/>
    <xf numFmtId="0" fontId="0" fillId="10" borderId="13" xfId="0" applyFont="1" applyFill="1" applyBorder="1"/>
    <xf numFmtId="0" fontId="0" fillId="0" borderId="13" xfId="0" applyFont="1" applyBorder="1"/>
    <xf numFmtId="0" fontId="0" fillId="0" borderId="0" xfId="0" applyFill="1"/>
    <xf numFmtId="0" fontId="7" fillId="0" borderId="0" xfId="0" applyFont="1" applyFill="1"/>
    <xf numFmtId="0" fontId="0" fillId="4" borderId="5" xfId="3" applyFont="1" applyBorder="1" applyAlignment="1">
      <alignment horizontal="center"/>
    </xf>
    <xf numFmtId="0" fontId="0" fillId="4" borderId="6" xfId="3" applyFont="1" applyBorder="1" applyAlignment="1">
      <alignment horizontal="center"/>
    </xf>
    <xf numFmtId="0" fontId="0" fillId="4" borderId="7" xfId="3" applyFont="1" applyBorder="1" applyAlignment="1">
      <alignment horizontal="center"/>
    </xf>
    <xf numFmtId="0" fontId="2" fillId="2" borderId="8" xfId="1" applyBorder="1" applyAlignment="1">
      <alignment horizontal="center"/>
    </xf>
    <xf numFmtId="0" fontId="2" fillId="2" borderId="0" xfId="1" applyAlignment="1">
      <alignment horizontal="center"/>
    </xf>
    <xf numFmtId="0" fontId="0" fillId="5" borderId="0" xfId="4" applyFont="1" applyAlignment="1">
      <alignment horizontal="center"/>
    </xf>
    <xf numFmtId="0" fontId="1" fillId="5" borderId="0" xfId="4" applyAlignment="1">
      <alignment horizontal="center"/>
    </xf>
    <xf numFmtId="0" fontId="0" fillId="4" borderId="5" xfId="3" applyFont="1" applyBorder="1" applyAlignment="1">
      <alignment horizontal="center" wrapText="1"/>
    </xf>
    <xf numFmtId="0" fontId="0" fillId="4" borderId="6" xfId="3" applyFont="1" applyBorder="1" applyAlignment="1">
      <alignment horizontal="center" wrapText="1"/>
    </xf>
    <xf numFmtId="0" fontId="0" fillId="4" borderId="7" xfId="3" applyFont="1" applyBorder="1" applyAlignment="1">
      <alignment horizontal="center" wrapText="1"/>
    </xf>
    <xf numFmtId="0" fontId="2" fillId="2" borderId="8" xfId="1" applyBorder="1" applyAlignment="1">
      <alignment horizontal="center" wrapText="1"/>
    </xf>
    <xf numFmtId="0" fontId="2" fillId="2" borderId="0" xfId="1" applyAlignment="1">
      <alignment horizontal="center" wrapText="1"/>
    </xf>
    <xf numFmtId="0" fontId="0" fillId="5" borderId="0" xfId="4" applyFont="1" applyAlignment="1">
      <alignment horizontal="center" wrapText="1"/>
    </xf>
    <xf numFmtId="0" fontId="1" fillId="5" borderId="0" xfId="4" applyAlignment="1">
      <alignment horizontal="center" wrapText="1"/>
    </xf>
    <xf numFmtId="0" fontId="3" fillId="3" borderId="1" xfId="2" applyAlignment="1">
      <alignment horizontal="center" wrapText="1"/>
    </xf>
    <xf numFmtId="0" fontId="3" fillId="3" borderId="9" xfId="2" applyBorder="1" applyAlignment="1">
      <alignment horizontal="center" wrapText="1"/>
    </xf>
    <xf numFmtId="0" fontId="3" fillId="3" borderId="10" xfId="2" applyBorder="1" applyAlignment="1">
      <alignment horizontal="center" wrapText="1"/>
    </xf>
  </cellXfs>
  <cellStyles count="5">
    <cellStyle name="20% - Accent2" xfId="4" builtinId="34"/>
    <cellStyle name="Calculation" xfId="2" builtinId="22"/>
    <cellStyle name="Neutral" xfId="1" builtinId="28"/>
    <cellStyle name="Normal" xfId="0" builtinId="0"/>
    <cellStyle name="Note" xfId="3" builtinId="10"/>
  </cellStyles>
  <dxfs count="140"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fill>
        <patternFill>
          <fgColor indexed="64"/>
          <bgColor theme="4" tint="0.79998168889431442"/>
        </patternFill>
      </fill>
      <alignment textRotation="0" wrapText="1" indent="0" justifyLastLine="0" shrinkToFit="0" readingOrder="0"/>
    </dxf>
    <dxf>
      <numFmt numFmtId="0" formatCode="General"/>
      <fill>
        <patternFill>
          <fgColor indexed="64"/>
          <bgColor theme="4" tint="0.79998168889431442"/>
        </patternFill>
      </fill>
      <alignment textRotation="0" wrapText="1" indent="0" justifyLastLine="0" shrinkToFit="0" readingOrder="0"/>
    </dxf>
    <dxf>
      <numFmt numFmtId="0" formatCode="General"/>
      <fill>
        <patternFill>
          <fgColor indexed="64"/>
          <bgColor theme="4" tint="0.79998168889431442"/>
        </patternFill>
      </fill>
      <alignment textRotation="0" wrapText="1" indent="0" justifyLastLine="0" shrinkToFit="0" readingOrder="0"/>
    </dxf>
    <dxf>
      <numFmt numFmtId="0" formatCode="General"/>
      <fill>
        <patternFill>
          <fgColor indexed="64"/>
          <bgColor theme="4" tint="0.79998168889431442"/>
        </patternFill>
      </fill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alignment textRotation="0" wrapText="1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auto="1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rgb="FF00B050"/>
      </font>
    </dxf>
    <dxf>
      <font>
        <b/>
        <i val="0"/>
        <color rgb="FF00B0F0"/>
      </font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rgb="FF8EA9DB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0" formatCode="General"/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alignment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auto="1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rgb="FF00B050"/>
      </font>
    </dxf>
    <dxf>
      <font>
        <b/>
        <i val="0"/>
        <color rgb="FF00B0F0"/>
      </font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auto="1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tyles.xml" Type="http://schemas.openxmlformats.org/officeDocument/2006/relationships/styles"/><Relationship Id="rId11" Target="sharedStrings.xml" Type="http://schemas.openxmlformats.org/officeDocument/2006/relationships/sharedStrings"/><Relationship Id="rId12" Target="calcChain.xml" Type="http://schemas.openxmlformats.org/officeDocument/2006/relationships/calcChain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theme/theme1.xml" Type="http://schemas.openxmlformats.org/officeDocument/2006/relationships/theme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76200</xdr:colOff>
          <xdr:row>1</xdr:row>
          <xdr:rowOff>352425</xdr:rowOff>
        </xdr:from>
        <xdr:to>
          <xdr:col>28</xdr:col>
          <xdr:colOff>1171575</xdr:colOff>
          <xdr:row>1</xdr:row>
          <xdr:rowOff>819150</xdr:rowOff>
        </xdr:to>
        <xdr:sp macro="" textlink="">
          <xdr:nvSpPr>
            <xdr:cNvPr id="2052" name="Button 4" descr="Re-Calc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20</xdr:col>
      <xdr:colOff>284267</xdr:colOff>
      <xdr:row>43</xdr:row>
      <xdr:rowOff>128566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09550"/>
          <a:ext cx="11866667" cy="811051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F2C4DB2-8A1D-400B-813E-88B3C898A863}" name="tblInputSheet" displayName="tblInputSheet" ref="A2:V87" totalsRowShown="0" headerRowDxfId="139" headerRowBorderDxfId="138">
  <autoFilter ref="A2:V87" xr:uid="{63912D9B-FEB9-4D84-B718-53C2CF0A2441}"/>
  <tableColumns count="22">
    <tableColumn id="1" xr3:uid="{7E14A1B3-9ABD-4744-8B38-0F0A979D409D}" name="Link"/>
    <tableColumn id="2" xr3:uid="{A09A899C-7B14-4560-B650-5D9CA6B5C97F}" name="Level"/>
    <tableColumn id="3" xr3:uid="{59E61F70-242A-4795-A6A4-28557362B35E}" name="Sl.No"/>
    <tableColumn id="4" xr3:uid="{5E12A87D-1F2C-44BA-807C-F52B62506304}" name="Group"/>
    <tableColumn id="5" xr3:uid="{6174984E-D4A5-45A6-8E43-60EAC7A0F519}" name="Process"/>
    <tableColumn id="20" xr3:uid="{078F733C-C503-491D-8145-1E2356BD7363}" name="Is Leaf ?"/>
    <tableColumn id="6" xr3:uid="{DE3A3405-17B9-4CC2-B22D-36BAD0116EFC}" name="Hosted Platform"/>
    <tableColumn id="7" xr3:uid="{5630949B-DB6A-4908-8B65-A83AD9F4E16B}" name="Provider"/>
    <tableColumn id="8" xr3:uid="{B77F7AA3-B811-46FB-AADE-476E07CB73F1}" name="Consumer"/>
    <tableColumn id="9" xr3:uid="{C82E36FF-C608-4343-8830-7298B009EAAB}" name="Integration Pattern"/>
    <tableColumn id="10" xr3:uid="{599F52CB-48C6-411B-942E-F39C53FB284D}" name="Current State"/>
    <tableColumn id="11" xr3:uid="{A4F0F56F-12D5-4C89-8A72-7895D903EFCD}" name="End State"/>
    <tableColumn id="12" xr3:uid="{6083B2F5-4FAA-4A4F-B99B-C36AF9002C1E}" name="MVP"/>
    <tableColumn id="13" xr3:uid="{2E19370D-58B8-441A-9D57-D418430E63FE}" name="Confidence Factor"/>
    <tableColumn id="14" xr3:uid="{47DE9C9A-DAEC-455F-9E79-C9C862EBAD00}" name="Count of Invocations"/>
    <tableColumn id="15" xr3:uid="{2B7BA9DA-78A0-479C-8417-0758C5A83DE2}" name="DB Calls (ms)"/>
    <tableColumn id="16" xr3:uid="{AD4BC4C6-82CA-4E16-B305-C58C893EAFC5}" name="Logic (ms)"/>
    <tableColumn id="17" xr3:uid="{5A69C746-682A-489B-A7EC-F4CA937221BD}" name="Rules (ms)"/>
    <tableColumn id="18" xr3:uid="{C5EB8D09-715A-4F1A-9277-D5DF85461ED8}" name="Latency (ms)"/>
    <tableColumn id="19" xr3:uid="{2CE3FCC6-735C-4915-B225-1F65FD825EBF}" name="Process NFR"/>
    <tableColumn id="21" xr3:uid="{A80AD8EE-619E-4436-8767-6852414C1899}" name="Owner"/>
    <tableColumn id="22" xr3:uid="{DE07CD1C-1387-4356-9B49-D454694F0C41}" name="Notes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D9A2E62-5BBF-4D92-87D6-D13399D251B2}" name="tblDisplaySheet" displayName="tblDisplaySheet" ref="A2:AD87" totalsRowShown="0" headerRowDxfId="131" dataDxfId="129" headerRowBorderDxfId="130">
  <autoFilter ref="A2:AD87" xr:uid="{420E04D8-D27F-4D71-9811-07C2127F6A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3" hiddenButton="1"/>
    <filterColumn colId="24" hiddenButton="1"/>
    <filterColumn colId="25" hiddenButton="1"/>
    <filterColumn colId="26" hiddenButton="1"/>
    <filterColumn colId="28" hiddenButton="1"/>
  </autoFilter>
  <tableColumns count="30">
    <tableColumn id="1" xr3:uid="{E1C0EB88-2F1C-4668-83FF-111A9F347D0C}" name="Link" dataDxfId="128">
      <calculatedColumnFormula>IFERROR(IF(tblInputSheet[[#This Row],[Link]] = "", "", tblInputSheet[[#This Row],[Link]]), "")</calculatedColumnFormula>
    </tableColumn>
    <tableColumn id="2" xr3:uid="{6F148C9C-B80F-49EE-B07D-065481ECAB81}" name="Level" dataDxfId="127">
      <calculatedColumnFormula>IFERROR(IF(tblInputSheet[[#This Row],[Level]] = "", "", tblInputSheet[[#This Row],[Level]]), "")</calculatedColumnFormula>
    </tableColumn>
    <tableColumn id="3" xr3:uid="{F3983E5F-B140-4A6E-B529-95315E236F9B}" name="Sl.No" dataDxfId="126">
      <calculatedColumnFormula>IFERROR(IF(tblInputSheet[[#This Row],[Sl.No]] = "", "", tblInputSheet[[#This Row],[Sl.No]]), "")</calculatedColumnFormula>
    </tableColumn>
    <tableColumn id="4" xr3:uid="{62686397-8C92-4349-BABD-366D29759122}" name="Group" dataDxfId="125">
      <calculatedColumnFormula>IFERROR(IF(tblInputSheet[[#This Row],[Group]] = "", "", tblInputSheet[[#This Row],[Group]]), "")</calculatedColumnFormula>
    </tableColumn>
    <tableColumn id="5" xr3:uid="{610199CE-9826-4E53-A0B9-C28541F11FF7}" name="Process " dataDxfId="124">
      <calculatedColumnFormula>IFERROR(IF(tblInputSheet[[#This Row],[Process]] = "", "", REPT("*",Display!$B3)&amp;""&amp;tblInputSheet[[#This Row],[Process]]), "")</calculatedColumnFormula>
    </tableColumn>
    <tableColumn id="6" xr3:uid="{D907B99F-36ED-48CB-9D48-832A2929200B}" name="Hosted Platform" dataDxfId="123">
      <calculatedColumnFormula>IFERROR(IF(tblInputSheet[[#This Row],[Hosted Platform]] = "", "", tblInputSheet[[#This Row],[Hosted Platform]]), "")</calculatedColumnFormula>
    </tableColumn>
    <tableColumn id="7" xr3:uid="{DE3E6281-A701-4CD4-8F17-497C184DC6C0}" name="Provider" dataDxfId="122">
      <calculatedColumnFormula>IFERROR(IF(tblInputSheet[[#This Row],[Provider]] = "-", "", tblInputSheet[[#This Row],[Provider]]), "")</calculatedColumnFormula>
    </tableColumn>
    <tableColumn id="8" xr3:uid="{E495980F-CC2A-4A0C-BA36-D40915AC708C}" name="Consumer" dataDxfId="121">
      <calculatedColumnFormula>IFERROR(IF(tblInputSheet[[#This Row],[Consumer]] = "-", "", tblInputSheet[[#This Row],[Consumer]]), "")</calculatedColumnFormula>
    </tableColumn>
    <tableColumn id="9" xr3:uid="{A75D4785-FE94-4E68-8416-2FC7ED7CC784}" name="Integration Pattern" dataDxfId="120">
      <calculatedColumnFormula>IFERROR(IF(tblInputSheet[[#This Row],[Integration Pattern]] = "-", "", tblInputSheet[[#This Row],[Integration Pattern]]), "")</calculatedColumnFormula>
    </tableColumn>
    <tableColumn id="10" xr3:uid="{EE8CF2A8-C5A3-4960-95FD-7268E30E70EA}" name="Current State" dataDxfId="119">
      <calculatedColumnFormula>IFERROR(IF(tblInputSheet[[#This Row],[Current State]] = "-", "", tblInputSheet[[#This Row],[Current State]]), "")</calculatedColumnFormula>
    </tableColumn>
    <tableColumn id="11" xr3:uid="{9BA8A5AE-5863-4874-95AA-E5945327D895}" name="End State" dataDxfId="118">
      <calculatedColumnFormula>IFERROR(IF(tblInputSheet[[#This Row],[End State]] = "-", "", tblInputSheet[[#This Row],[End State]]), "")</calculatedColumnFormula>
    </tableColumn>
    <tableColumn id="12" xr3:uid="{0A36BB72-2EDD-49B4-881B-13B4838C0A28}" name="MVP" dataDxfId="117">
      <calculatedColumnFormula>IFERROR(IF(tblInputSheet[[#This Row],[MVP]] = "-", "", tblInputSheet[[#This Row],[MVP]]), "")</calculatedColumnFormula>
    </tableColumn>
    <tableColumn id="13" xr3:uid="{73DFBDFC-653C-45E3-B29E-98F33241ABDE}" name="Confidence Factor" dataDxfId="116">
      <calculatedColumnFormula>IFERROR(IF(tblInputSheet[[#This Row],[Confidence Factor]] = "-", "", VLOOKUP(tblInputSheet[[#This Row],[Confidence Factor]], tblConfidenceFactor[], 3,FALSE)), "")</calculatedColumnFormula>
    </tableColumn>
    <tableColumn id="14" xr3:uid="{23E68406-D0AF-49CF-9F87-95BE489B45DC}" name="Count of Invocations" dataDxfId="115">
      <calculatedColumnFormula>IFERROR(IF(tblInputSheet[[#This Row],[Count of Invocations]] = "", "", tblInputSheet[[#This Row],[Count of Invocations]]), "")</calculatedColumnFormula>
    </tableColumn>
    <tableColumn id="15" xr3:uid="{009AC55E-74B8-4BCD-A00C-7412FAAC73AA}" name="DB Calls (ms)" dataDxfId="114">
      <calculatedColumnFormula>IFERROR(IF(tblInputSheet[[#This Row],[DB Calls (ms)]] = "", "", tblInputSheet[[#This Row],[DB Calls (ms)]]), "")</calculatedColumnFormula>
    </tableColumn>
    <tableColumn id="16" xr3:uid="{B30F54FB-2D7E-423F-BBA9-EAC29B3487FD}" name="Logic (ms)" dataDxfId="113">
      <calculatedColumnFormula>IFERROR(IF(tblInputSheet[[#This Row],[Logic (ms)]] = "", "", tblInputSheet[[#This Row],[Logic (ms)]]), "")</calculatedColumnFormula>
    </tableColumn>
    <tableColumn id="17" xr3:uid="{80DCD4CA-1119-4E69-8C64-50A8F3765C6E}" name="Rules (ms)" dataDxfId="112">
      <calculatedColumnFormula>IFERROR(IF(tblInputSheet[[#This Row],[Rules (ms)]] = "", "", tblInputSheet[[#This Row],[Rules (ms)]]), "")</calculatedColumnFormula>
    </tableColumn>
    <tableColumn id="18" xr3:uid="{2F755049-6FB5-43C5-A33C-8B357CD7C50B}" name="Latency (ms)" dataDxfId="111">
      <calculatedColumnFormula>IFERROR(IF(tblInputSheet[[#This Row],[Latency (ms)]] = "", "", tblInputSheet[[#This Row],[Latency (ms)]]), "")</calculatedColumnFormula>
    </tableColumn>
    <tableColumn id="21" xr3:uid="{7AC94F8D-DB8E-4E1D-B08F-C8519E360E5E}" name="Time of Function / Call" dataDxfId="110">
      <calculatedColumnFormula>IFERROR(SUM(tblDisplaySheet[[#This Row],[DB Calls (ms)]:[Latency (ms)]]), "")</calculatedColumnFormula>
    </tableColumn>
    <tableColumn id="22" xr3:uid="{4ACC9C70-D2AE-4945-B76A-2339B6316FF3}" name="Total Process Time" dataDxfId="109">
      <calculatedColumnFormula>IFERROR(tblDisplaySheet[[#This Row],[Time of Function / Call]]*tblDisplaySheet[[#This Row],[Count of Invocations]], "")</calculatedColumnFormula>
    </tableColumn>
    <tableColumn id="23" xr3:uid="{0F87CA07-B05F-4204-8C36-53AB6DD6ACCE}" name="Total Process Path Length" dataDxfId="108"/>
    <tableColumn id="30" xr3:uid="{5E7BEBCF-51DE-4DFA-A5C0-05521324CBE4}" name="Process NFR" dataDxfId="107">
      <calculatedColumnFormula>IFERROR(IF(tblInputSheet[[#This Row],[Process NFR]] = "", "", tblInputSheet[[#This Row],[Process NFR]]), "")</calculatedColumnFormula>
    </tableColumn>
    <tableColumn id="29" xr3:uid="{676882FB-62A7-488D-A59D-B0CE685BB03F}" name="Total Process NFR" dataDxfId="106">
      <calculatedColumnFormula>tblDisplaySheet[[#This Row],[Process NFR]]*tblDisplaySheet[[#This Row],[Count of Invocations]]</calculatedColumnFormula>
    </tableColumn>
    <tableColumn id="24" xr3:uid="{758D16A3-BEDF-4AF6-AFAD-98B9E15E50EF}" name="Total Process Path Length NFR" dataDxfId="105"/>
    <tableColumn id="25" xr3:uid="{B851C4AD-B9A3-4014-B820-AB1FE8367390}" name="Difference" dataDxfId="104">
      <calculatedColumnFormula>tblDisplaySheet[[#This Row],[Total Process Path Length NFR]]-tblDisplaySheet[[#This Row],[Total Process Path Length]]</calculatedColumnFormula>
    </tableColumn>
    <tableColumn id="26" xr3:uid="{D24360F2-160B-4A95-B41C-772D7ABDDF95}" name="Status" dataDxfId="103">
      <calculatedColumnFormula>IF(tblDisplaySheet[[#This Row],[Difference]]&gt;=0, "On Target", "Off Target")</calculatedColumnFormula>
    </tableColumn>
    <tableColumn id="27" xr3:uid="{08F72DE2-2C84-4A73-B28C-99C33D7C7BE4}" name="Is Leaf?" dataDxfId="102">
      <calculatedColumnFormula>IFERROR(IF(tblInputSheet[[#This Row],[Is Leaf ?]] = "-", "", tblInputSheet[[#This Row],[Is Leaf ?]]), "")</calculatedColumnFormula>
    </tableColumn>
    <tableColumn id="20" xr3:uid="{F00EA890-9D84-43D9-901E-63692C1B4F92}" name="Owner" dataDxfId="101">
      <calculatedColumnFormula>IFERROR(IF(tblInputSheet[[#This Row],[Owner]] = "", "", tblInputSheet[[#This Row],[Owner]]), "")</calculatedColumnFormula>
    </tableColumn>
    <tableColumn id="28" xr3:uid="{EB06DCC5-0F37-414C-A524-09C09AFB4DBD}" name="Notes" dataDxfId="100"/>
    <tableColumn id="19" xr3:uid="{AD2B9414-FC46-40FA-A991-60560E6157E1}" name="Column1" dataDxfId="9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0A1D32D-CB82-4648-AAC4-35A0B0AC17AF}" name="Table25" displayName="Table25" ref="A2:AE87" totalsRowShown="0" headerRowDxfId="98" headerRowBorderDxfId="97" tableBorderDxfId="96">
  <autoFilter ref="A2:AE87" xr:uid="{4C1EFCF9-9E31-4081-A067-62B566B44037}">
    <filterColumn colId="0" hiddenButton="1"/>
    <filterColumn colId="1" hiddenButton="1"/>
    <filterColumn colId="2" hiddenButton="1"/>
    <filterColumn colId="3" hiddenButton="1"/>
    <filterColumn colId="4" hiddenButton="1"/>
    <filterColumn colId="6" hiddenButton="1"/>
    <filterColumn colId="8" hiddenButton="1"/>
    <filterColumn colId="10" hiddenButton="1"/>
    <filterColumn colId="12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6" hiddenButton="1"/>
    <filterColumn colId="27" hiddenButton="1"/>
    <filterColumn colId="29" hiddenButton="1"/>
  </autoFilter>
  <tableColumns count="31">
    <tableColumn id="1" xr3:uid="{3D4DE5A7-2058-4DB3-AE34-8746A34BE2AA}" name="Link" dataDxfId="95">
      <calculatedColumnFormula>tblDisplaySheet[[#This Row],[Link]]</calculatedColumnFormula>
    </tableColumn>
    <tableColumn id="2" xr3:uid="{81D25BF8-8089-41B4-B6EE-55DF9D4BFB88}" name="Level" dataDxfId="94">
      <calculatedColumnFormula>tblDisplaySheet[[#This Row],[Level]]</calculatedColumnFormula>
    </tableColumn>
    <tableColumn id="3" xr3:uid="{7EE41EF4-C355-4B57-8660-4EC767697D24}" name="SR No" dataDxfId="93">
      <calculatedColumnFormula>tblDisplaySheet[[#This Row],[Sl.No]]</calculatedColumnFormula>
    </tableColumn>
    <tableColumn id="4" xr3:uid="{B4AB7E8D-B6BA-4C79-9D64-57422E1AC8C8}" name="Group" dataDxfId="92">
      <calculatedColumnFormula>tblDisplaySheet[[#This Row],[Group]]</calculatedColumnFormula>
    </tableColumn>
    <tableColumn id="5" xr3:uid="{A459FABF-2F2F-48D3-9978-E46E8A492C65}" name="Process " dataDxfId="91">
      <calculatedColumnFormula>TEXT(tblInputSheet[[#This Row],[Sl.No]], "000")&amp; ":"&amp; tblInputSheet[[#This Row],[Process]]</calculatedColumnFormula>
    </tableColumn>
    <tableColumn id="30" xr3:uid="{ECAFD1E5-17B8-4213-88D3-A88AFEA6C076}" name="Process Name" dataDxfId="90">
      <calculatedColumnFormula>IFERROR(IF(tblInputSheet[[#This Row],[Process]] = "", "", REPT("*",Demo!$A3)&amp;""&amp;tblInputSheet[[#This Row],[Process]]), "")</calculatedColumnFormula>
    </tableColumn>
    <tableColumn id="6" xr3:uid="{A4BBB6DF-E260-434A-9500-D282B6273A8F}" name="Hosted Platform Code" dataDxfId="89">
      <calculatedColumnFormula>IFERROR(IF(tblInputSheet[[#This Row],[Hosted Platform]] = "-", "", VLOOKUP(tblInputSheet[[#This Row],[Hosted Platform]], tblHosted_PlatformOwner[], 2,FALSE)), "")</calculatedColumnFormula>
    </tableColumn>
    <tableColumn id="9" xr3:uid="{F03B126B-F6A3-43BC-B351-186CEB14F630}" name="Hosted Name" dataDxfId="88">
      <calculatedColumnFormula>IFERROR(IF(tblInputSheet[[#This Row],[Hosted Platform]] = "-", "", VLOOKUP(tblInputSheet[[#This Row],[Hosted Platform]], tblHosted_PlatformOwner[], 1,FALSE)), "")</calculatedColumnFormula>
    </tableColumn>
    <tableColumn id="8" xr3:uid="{A063C4C0-ECCF-45F4-8EA2-B1F781720860}" name="Provider Code" dataDxfId="87">
      <calculatedColumnFormula>IFERROR(IF(tblInputSheet[[#This Row],[Provider]] = "-", "", VLOOKUP(tblInputSheet[[#This Row],[Provider]], tblParticipants[], 2,FALSE)), "")</calculatedColumnFormula>
    </tableColumn>
    <tableColumn id="11" xr3:uid="{AE77CED4-C452-4EA4-9366-20600E9C5573}" name="Provider" dataDxfId="86">
      <calculatedColumnFormula>IFERROR(IF(tblInputSheet[[#This Row],[Provider]] = "-", "", VLOOKUP(tblInputSheet[[#This Row],[Provider]], tblParticipants[], 1,FALSE)), "")</calculatedColumnFormula>
    </tableColumn>
    <tableColumn id="10" xr3:uid="{9AD1879D-DA3C-4F05-B0AF-3FC6FC7BB612}" name="Consumer Code" dataDxfId="85">
      <calculatedColumnFormula>IFERROR(IF(tblInputSheet[[#This Row],[Consumer]] = "-", "", VLOOKUP(tblInputSheet[[#This Row],[Consumer]], tblParticipants[], 2,FALSE)), "")</calculatedColumnFormula>
    </tableColumn>
    <tableColumn id="27" xr3:uid="{CFD59EBB-2B75-4E66-98BE-E81E6955C9C2}" name="Consumer" dataDxfId="84">
      <calculatedColumnFormula>IFERROR(IF(tblInputSheet[[#This Row],[Consumer]] = "-", "", VLOOKUP(tblInputSheet[[#This Row],[Consumer]], tblParticipants[], 1,FALSE)), "")</calculatedColumnFormula>
    </tableColumn>
    <tableColumn id="12" xr3:uid="{B7AF3E40-5EA9-4F19-A56E-A9774BC2BB82}" name="Integration Pattern Code" dataDxfId="83">
      <calculatedColumnFormula>IFERROR(IF(tblInputSheet[[#This Row],[Integration Pattern]] = "-", "", VLOOKUP(tblInputSheet[[#This Row],[Integration Pattern]], tblIntegrationPartten[], 2,FALSE)), "")</calculatedColumnFormula>
    </tableColumn>
    <tableColumn id="28" xr3:uid="{677F0B06-EE2D-4922-ADAF-CB09E1173B60}" name="Integration Pattern" dataDxfId="82">
      <calculatedColumnFormula>IFERROR(IF(tblInputSheet[[#This Row],[Integration Pattern]] = "-", "", VLOOKUP(tblInputSheet[[#This Row],[Integration Pattern]], tblIntegrationPartten[], 1,FALSE)), "")</calculatedColumnFormula>
    </tableColumn>
    <tableColumn id="13" xr3:uid="{1ACE95C5-A369-4DEF-9B91-008F9EEC4E9B}" name="Current State" dataDxfId="81">
      <calculatedColumnFormula>tblDisplaySheet[[#This Row],[Current State]]</calculatedColumnFormula>
    </tableColumn>
    <tableColumn id="14" xr3:uid="{FE1F7B03-5136-446C-B18F-B0B095D2EEDA}" name="Confidence Factor" dataDxfId="80">
      <calculatedColumnFormula>tblDisplaySheet[[#This Row],[Confidence Factor]]</calculatedColumnFormula>
    </tableColumn>
    <tableColumn id="15" xr3:uid="{69E1F826-E453-4E42-8A32-DEA77D0358DF}" name="Count of Invocations" dataDxfId="79">
      <calculatedColumnFormula>tblDisplaySheet[[#This Row],[Count of Invocations]]</calculatedColumnFormula>
    </tableColumn>
    <tableColumn id="16" xr3:uid="{809AD50B-8E49-45CC-800A-4153BA3D4C06}" name="DB Calls (ms)" dataDxfId="78">
      <calculatedColumnFormula>tblDisplaySheet[[#This Row],[DB Calls (ms)]]</calculatedColumnFormula>
    </tableColumn>
    <tableColumn id="17" xr3:uid="{A75BFD38-03A7-4CC0-907F-30D868704D44}" name="Logic (ms)" dataDxfId="77">
      <calculatedColumnFormula>tblDisplaySheet[[#This Row],[Logic (ms)]]</calculatedColumnFormula>
    </tableColumn>
    <tableColumn id="18" xr3:uid="{78A6B795-9E5E-49F3-8B20-B4999C0B193E}" name="Rules (ms)" dataDxfId="76">
      <calculatedColumnFormula>tblDisplaySheet[[#This Row],[Rules (ms)]]</calculatedColumnFormula>
    </tableColumn>
    <tableColumn id="19" xr3:uid="{AB39A940-F7C2-4CB8-903C-BA44852189A2}" name="Latency (ms)" dataDxfId="75">
      <calculatedColumnFormula>tblDisplaySheet[[#This Row],[Latency (ms)]]</calculatedColumnFormula>
    </tableColumn>
    <tableColumn id="21" xr3:uid="{77180BB0-7815-4D85-98DB-433BB642365A}" name="Time of Function / Call" dataDxfId="74">
      <calculatedColumnFormula>tblDisplaySheet[[#This Row],[Total Process Path Length]]</calculatedColumnFormula>
    </tableColumn>
    <tableColumn id="22" xr3:uid="{92F0B19C-9F56-476D-BA22-93119CE8D627}" name="Total Process Time" dataDxfId="73">
      <calculatedColumnFormula>tblDisplaySheet[[#This Row],[Total Process Time]]</calculatedColumnFormula>
    </tableColumn>
    <tableColumn id="23" xr3:uid="{CA203A01-EB8C-48B0-A3CC-5A707F6C394A}" name="Total Process Path Length" dataDxfId="72">
      <calculatedColumnFormula>tblDisplaySheet[[#This Row],[Total Process Path Length]]</calculatedColumnFormula>
    </tableColumn>
    <tableColumn id="20" xr3:uid="{8B1EA574-CA9B-4442-990A-CE3A65C89D36}" name="Process NFR" dataDxfId="71">
      <calculatedColumnFormula>tblDisplaySheet[[#This Row],[Process NFR]]</calculatedColumnFormula>
    </tableColumn>
    <tableColumn id="31" xr3:uid="{DA944517-4DA6-44DB-B191-FD3308AA603C}" name="Total Process NFR" dataDxfId="70">
      <calculatedColumnFormula>tblDisplaySheet[[#This Row],[Total Process NFR]]</calculatedColumnFormula>
    </tableColumn>
    <tableColumn id="24" xr3:uid="{B5B828E4-2AED-42C3-90A6-36556404387E}" name="Total Process Path Length NFR" dataDxfId="69">
      <calculatedColumnFormula>tblDisplaySheet[[#This Row],[Total Process Path Length NFR]]</calculatedColumnFormula>
    </tableColumn>
    <tableColumn id="25" xr3:uid="{AC826765-C6F5-4FE6-A38B-BC4261DC2359}" name="Status" dataDxfId="68">
      <calculatedColumnFormula>tblDisplaySheet[[#This Row],[Status]]</calculatedColumnFormula>
    </tableColumn>
    <tableColumn id="29" xr3:uid="{AF6B0049-82E6-4E40-9CB7-8FF2132EB370}" name="Status Code" dataDxfId="67">
      <calculatedColumnFormula>tblDisplaySheet[[#This Row],[Status]]</calculatedColumnFormula>
    </tableColumn>
    <tableColumn id="26" xr3:uid="{5EAB8416-901E-460C-82EB-7F22CC4DECE7}" name="Is Leaf?" dataDxfId="66">
      <calculatedColumnFormula>tblDisplaySheet[[#This Row],[Is Leaf?]]</calculatedColumnFormula>
    </tableColumn>
    <tableColumn id="7" xr3:uid="{4A6473F8-BF34-4AF4-AF2B-30C2F6C027C8}" name="Owner" dataDxfId="65">
      <calculatedColumnFormula>tblDisplaySheet[[#This Row],[Owner]]</calculatedColumnFormula>
    </tableColumn>
  </tableColumns>
  <tableStyleInfo name="TableStyleMedium2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47BC380-10F3-4DEB-BA88-8D010C2A7381}" name="Table259" displayName="Table259" ref="A2:X87" totalsRowShown="0" headerRowDxfId="64" headerRowBorderDxfId="63" tableBorderDxfId="62">
  <autoFilter ref="A2:X87" xr:uid="{4C1EFCF9-9E31-4081-A067-62B566B440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4">
    <tableColumn id="1" xr3:uid="{4237E8D0-F6A9-46B8-89AA-08E05FD881A8}" name="Link" dataDxfId="61">
      <calculatedColumnFormula>tblDisplaySheet[[#This Row],[Link]]</calculatedColumnFormula>
    </tableColumn>
    <tableColumn id="2" xr3:uid="{8C80103B-CD95-4BE7-A8D9-64C39DB9246E}" name="Level" dataDxfId="60">
      <calculatedColumnFormula>tblDisplaySheet[[#This Row],[Level]]</calculatedColumnFormula>
    </tableColumn>
    <tableColumn id="3" xr3:uid="{55F94ABA-8A1C-4DC3-98AD-124B540788BA}" name="SR No" dataDxfId="59">
      <calculatedColumnFormula>tblDisplaySheet[[#This Row],[Sl.No]]</calculatedColumnFormula>
    </tableColumn>
    <tableColumn id="4" xr3:uid="{3F3D4004-CAE6-425A-982C-7C7F10B10C7A}" name="Group" dataDxfId="58">
      <calculatedColumnFormula>tblDisplaySheet[[#This Row],[Group]]</calculatedColumnFormula>
    </tableColumn>
    <tableColumn id="5" xr3:uid="{2CD80490-A178-4F82-A336-93D9E1350E07}" name="Process" dataDxfId="57">
      <calculatedColumnFormula>TEXT(tblInputSheet[[#This Row],[Sl.No]], "000")&amp; ":"&amp; tblInputSheet[[#This Row],[Process]]</calculatedColumnFormula>
    </tableColumn>
    <tableColumn id="6" xr3:uid="{D7BC10AD-4C64-4848-924A-4A550E470F02}" name="Hosted Platform" dataDxfId="56">
      <calculatedColumnFormula>IFERROR(IF(tblInputSheet[[#This Row],[Hosted Platform]] = "-", "", VLOOKUP(tblInputSheet[[#This Row],[Hosted Platform]], tblHosted_PlatformOwner[], 2,FALSE)), "")</calculatedColumnFormula>
    </tableColumn>
    <tableColumn id="8" xr3:uid="{3E19AC40-78E7-47CC-9CF5-CF300FAC87FE}" name="Provider" dataDxfId="55">
      <calculatedColumnFormula>IFERROR(IF(tblInputSheet[[#This Row],[Provider]] = "-", "", VLOOKUP(tblInputSheet[[#This Row],[Provider]], tblParticipants[], 2,FALSE)), "")</calculatedColumnFormula>
    </tableColumn>
    <tableColumn id="10" xr3:uid="{37E54374-4ED6-4C41-86D8-61E88973FB81}" name="Consumer" dataDxfId="54">
      <calculatedColumnFormula>IFERROR(IF(tblInputSheet[[#This Row],[Consumer]] = "-", "", VLOOKUP(tblInputSheet[[#This Row],[Consumer]], tblParticipants[], 2,FALSE)), "")</calculatedColumnFormula>
    </tableColumn>
    <tableColumn id="12" xr3:uid="{D3AEEA79-9201-40D8-942B-EE4328353375}" name="Integration Pattern" dataDxfId="53">
      <calculatedColumnFormula>IFERROR(IF(tblInputSheet[[#This Row],[Integration Pattern]] = "-", "", VLOOKUP(tblInputSheet[[#This Row],[Integration Pattern]], tblIntegrationPartten[], 2,FALSE)), "")</calculatedColumnFormula>
    </tableColumn>
    <tableColumn id="13" xr3:uid="{D4796A92-62B9-42EC-8B46-1BD647A37625}" name="Current State" dataDxfId="52">
      <calculatedColumnFormula>tblDisplaySheet[[#This Row],[Current State]]</calculatedColumnFormula>
    </tableColumn>
    <tableColumn id="14" xr3:uid="{18F57269-4C7F-482A-A743-A2CCB77C81F2}" name="Confidence Factor" dataDxfId="51">
      <calculatedColumnFormula>tblDisplaySheet[[#This Row],[Confidence Factor]]</calculatedColumnFormula>
    </tableColumn>
    <tableColumn id="15" xr3:uid="{66B3D3BA-59EB-42DD-AE2D-B29F48D1E4D9}" name="Count of Invocations" dataDxfId="50">
      <calculatedColumnFormula>tblDisplaySheet[[#This Row],[Count of Invocations]]</calculatedColumnFormula>
    </tableColumn>
    <tableColumn id="16" xr3:uid="{851A4299-B9CA-47F1-B1B2-097997D3523D}" name="DB Calls (ms)" dataDxfId="49">
      <calculatedColumnFormula>tblDisplaySheet[[#This Row],[DB Calls (ms)]]</calculatedColumnFormula>
    </tableColumn>
    <tableColumn id="17" xr3:uid="{07AF2C76-D1F3-40AA-8500-5686AC1E94FF}" name="Logic (ms)" dataDxfId="48">
      <calculatedColumnFormula>tblDisplaySheet[[#This Row],[Logic (ms)]]</calculatedColumnFormula>
    </tableColumn>
    <tableColumn id="18" xr3:uid="{86D6B712-1D44-46A6-8AFF-720CA21173D4}" name="Rules (ms)" dataDxfId="47">
      <calculatedColumnFormula>tblDisplaySheet[[#This Row],[Rules (ms)]]</calculatedColumnFormula>
    </tableColumn>
    <tableColumn id="19" xr3:uid="{E8E0E4F9-B11F-4187-89AE-8B469C690C5A}" name="Latency (ms)" dataDxfId="46">
      <calculatedColumnFormula>tblDisplaySheet[[#This Row],[Latency (ms)]]</calculatedColumnFormula>
    </tableColumn>
    <tableColumn id="20" xr3:uid="{45D9F549-9EA4-4097-A110-3F1EC4E0455C}" name="Process NFR" dataDxfId="45">
      <calculatedColumnFormula>tblDisplaySheet[[#This Row],[Latency (ms)]]</calculatedColumnFormula>
    </tableColumn>
    <tableColumn id="21" xr3:uid="{3ECC0FDC-480B-48FA-955B-BBDDD3DA9169}" name="Time of Function / Call" dataDxfId="44">
      <calculatedColumnFormula>tblDisplaySheet[[#This Row],[Total Process Path Length]]</calculatedColumnFormula>
    </tableColumn>
    <tableColumn id="22" xr3:uid="{38FD7CC6-13F5-4664-944A-B9A8C71B4587}" name="Total Process Time" dataDxfId="43">
      <calculatedColumnFormula>tblDisplaySheet[[#This Row],[Total Process Time]]</calculatedColumnFormula>
    </tableColumn>
    <tableColumn id="23" xr3:uid="{A1602A3F-F810-4A5F-8E19-0D9F50DAFEE3}" name="Total Process Path Length" dataDxfId="42">
      <calculatedColumnFormula>tblDisplaySheet[[#This Row],[Total Process Path Length]]</calculatedColumnFormula>
    </tableColumn>
    <tableColumn id="24" xr3:uid="{7BE76BD1-D7C6-4BA7-9B1A-B65A977C1E6E}" name="Total Process Path Length NFR" dataDxfId="41">
      <calculatedColumnFormula>tblDisplaySheet[[#This Row],[Total Process Path Length NFR]]</calculatedColumnFormula>
    </tableColumn>
    <tableColumn id="25" xr3:uid="{29A33CEB-4883-483D-8C8D-5327F4124CDE}" name="Status" dataDxfId="40">
      <calculatedColumnFormula>tblDisplaySheet[[#This Row],[Status]]</calculatedColumnFormula>
    </tableColumn>
    <tableColumn id="26" xr3:uid="{C50E9CC7-569D-46BA-9B3B-05A167EB1C11}" name="Is Leaf?" dataDxfId="39">
      <calculatedColumnFormula>tblDisplaySheet[[#This Row],[Is Leaf?]]</calculatedColumnFormula>
    </tableColumn>
    <tableColumn id="7" xr3:uid="{61C90782-8DD6-49BE-8C8A-ED6ECE57D9BB}" name="Owner" dataDxfId="38">
      <calculatedColumnFormula>tblDisplaySheet[[#This Row],[Owner]]</calculatedColumnFormula>
    </tableColumn>
  </tableColumns>
  <tableStyleInfo name="TableStyleMedium2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D23B48-9BAF-4ED9-8C76-8EFFFD6733AA}" name="tblDisplaySheet2" displayName="tblDisplaySheet2" ref="A2:AA87" totalsRowShown="0" headerRowDxfId="29" dataDxfId="27" headerRowBorderDxfId="28">
  <autoFilter ref="A2:AA87" xr:uid="{420E04D8-D27F-4D71-9811-07C2127F6AEE}">
    <filterColumn colId="0">
      <filters>
        <filter val="0"/>
        <filter val="1"/>
        <filter val="2"/>
        <filter val="3"/>
        <filter val="4"/>
      </filters>
    </filterColumn>
  </autoFilter>
  <tableColumns count="27">
    <tableColumn id="2" xr3:uid="{6C81910B-ED92-44B3-8E0E-9DCAA6B03015}" name="Level" dataDxfId="26">
      <calculatedColumnFormula>IFERROR(IF(tblInputSheet[[#This Row],[Level]] = "", "", tblInputSheet[[#This Row],[Level]]), "")</calculatedColumnFormula>
    </tableColumn>
    <tableColumn id="3" xr3:uid="{F6558A8D-9A79-4C49-BB22-8320031DFEA0}" name="Sl.No" dataDxfId="25">
      <calculatedColumnFormula>IFERROR(IF(tblInputSheet[[#This Row],[Sl.No]] = "", "", tblInputSheet[[#This Row],[Sl.No]]), "")</calculatedColumnFormula>
    </tableColumn>
    <tableColumn id="4" xr3:uid="{6C155F74-A45A-4873-A0C3-D96EF647B71C}" name="Group" dataDxfId="24">
      <calculatedColumnFormula>IFERROR(IF(tblInputSheet[[#This Row],[Group]] = "", "", tblInputSheet[[#This Row],[Group]]), "")</calculatedColumnFormula>
    </tableColumn>
    <tableColumn id="5" xr3:uid="{C1EB08C7-6282-44AD-B324-81E277F88429}" name="Process " dataDxfId="23">
      <calculatedColumnFormula>IFERROR(IF(tblInputSheet[[#This Row],[Process]] = "", "", REPT("*",Demo!$A3)&amp;""&amp;tblInputSheet[[#This Row],[Process]]), "")</calculatedColumnFormula>
    </tableColumn>
    <tableColumn id="6" xr3:uid="{95F4C6C1-6C00-413E-B302-DD279D44767D}" name="Hosted Platform" dataDxfId="22">
      <calculatedColumnFormula>IFERROR(IF(tblInputSheet[[#This Row],[Hosted Platform]] = "", "", tblInputSheet[[#This Row],[Hosted Platform]]), "")</calculatedColumnFormula>
    </tableColumn>
    <tableColumn id="7" xr3:uid="{F64B20C7-9A38-4165-BC7B-7C3A88B39066}" name="Provider" dataDxfId="21">
      <calculatedColumnFormula>IFERROR(IF(tblInputSheet[[#This Row],[Provider]] = "-", "", tblInputSheet[[#This Row],[Provider]]), "")</calculatedColumnFormula>
    </tableColumn>
    <tableColumn id="8" xr3:uid="{94F7AC24-BC47-4625-88F9-6A39908EB9E5}" name="Consumer" dataDxfId="20">
      <calculatedColumnFormula>IFERROR(IF(tblInputSheet[[#This Row],[Consumer]] = "-", "", tblInputSheet[[#This Row],[Consumer]]), "")</calculatedColumnFormula>
    </tableColumn>
    <tableColumn id="9" xr3:uid="{264CF182-D3AE-4DB7-8C27-011ECD320F3E}" name="Integration Pattern" dataDxfId="19">
      <calculatedColumnFormula>IFERROR(IF(tblInputSheet[[#This Row],[Integration Pattern]] = "-", "", tblInputSheet[[#This Row],[Integration Pattern]]), "")</calculatedColumnFormula>
    </tableColumn>
    <tableColumn id="10" xr3:uid="{2F3488A1-0A69-44E1-909B-1E77A45EFFBE}" name="Current State" dataDxfId="18">
      <calculatedColumnFormula>IFERROR(IF(tblInputSheet[[#This Row],[Current State]] = "-", "", tblInputSheet[[#This Row],[Current State]]), "")</calculatedColumnFormula>
    </tableColumn>
    <tableColumn id="11" xr3:uid="{9AB7D5DB-8AFB-4450-B781-356980323C56}" name="End State" dataDxfId="17">
      <calculatedColumnFormula>IFERROR(IF(tblInputSheet[[#This Row],[End State]] = "-", "", tblInputSheet[[#This Row],[End State]]), "")</calculatedColumnFormula>
    </tableColumn>
    <tableColumn id="12" xr3:uid="{8A8BC3CD-D672-4D60-A3F3-4985467E0937}" name="MVP" dataDxfId="16">
      <calculatedColumnFormula>IFERROR(IF(tblInputSheet[[#This Row],[MVP]] = "-", "", tblInputSheet[[#This Row],[MVP]]), "")</calculatedColumnFormula>
    </tableColumn>
    <tableColumn id="14" xr3:uid="{89D0C34A-A15E-4B0F-94DC-7CDBDC370C54}" name="Count of Invocations" dataDxfId="15">
      <calculatedColumnFormula>IFERROR(IF(tblInputSheet[[#This Row],[Count of Invocations]] = "", "", tblInputSheet[[#This Row],[Count of Invocations]]), "")</calculatedColumnFormula>
    </tableColumn>
    <tableColumn id="15" xr3:uid="{28C6C59D-9F15-4547-8FB4-74E4BA9131C4}" name="DB Calls (ms)" dataDxfId="14">
      <calculatedColumnFormula>IFERROR(IF(tblInputSheet[[#This Row],[DB Calls (ms)]] = "", "", tblInputSheet[[#This Row],[DB Calls (ms)]]), "")</calculatedColumnFormula>
    </tableColumn>
    <tableColumn id="16" xr3:uid="{9633E704-74BE-4695-A6AF-42387D6EAF04}" name="Logic (ms)" dataDxfId="13">
      <calculatedColumnFormula>IFERROR(IF(tblInputSheet[[#This Row],[Logic (ms)]] = "", "", tblInputSheet[[#This Row],[Logic (ms)]]), "")</calculatedColumnFormula>
    </tableColumn>
    <tableColumn id="17" xr3:uid="{8B5A5696-B937-45E2-9B82-DCFCB0251900}" name="Rules (ms)" dataDxfId="12">
      <calculatedColumnFormula>IFERROR(IF(tblInputSheet[[#This Row],[Rules (ms)]] = "", "", tblInputSheet[[#This Row],[Rules (ms)]]), "")</calculatedColumnFormula>
    </tableColumn>
    <tableColumn id="18" xr3:uid="{32698E81-6E34-4E4E-8272-71B891042DAE}" name="Latency (ms)" dataDxfId="11">
      <calculatedColumnFormula>IFERROR(IF(tblInputSheet[[#This Row],[Latency (ms)]] = "", "", tblInputSheet[[#This Row],[Latency (ms)]]), "")</calculatedColumnFormula>
    </tableColumn>
    <tableColumn id="21" xr3:uid="{A7D22F9E-C7F4-4224-9F35-FDDF9502E40A}" name="Time of Function / Call" dataDxfId="10">
      <calculatedColumnFormula>IFERROR(SUM(tblDisplaySheet2[[#This Row],[DB Calls (ms)]:[Latency (ms)]]), "")</calculatedColumnFormula>
    </tableColumn>
    <tableColumn id="22" xr3:uid="{F0DB80C1-E507-44B4-93C4-42603E87FDD5}" name="Total Process Time" dataDxfId="9">
      <calculatedColumnFormula>IFERROR(tblDisplaySheet[[#This Row],[Total Process Time]], "")</calculatedColumnFormula>
    </tableColumn>
    <tableColumn id="23" xr3:uid="{D2B6EB6E-0A0D-4C08-8F1B-46BEEA49E1CE}" name="Total Process Path Length" dataDxfId="8"/>
    <tableColumn id="27" xr3:uid="{7837D916-6777-40F2-96BA-29DFFF9C692A}" name="Process NFR" dataDxfId="7">
      <calculatedColumnFormula>IFERROR(tblDisplaySheet[[#This Row],[Process NFR]], "")</calculatedColumnFormula>
    </tableColumn>
    <tableColumn id="19" xr3:uid="{D8F76B2A-CC74-43D6-B726-F8CB23B96A1A}" name="Total Process NFR" dataDxfId="6">
      <calculatedColumnFormula>IFERROR(tblDisplaySheet[[#This Row],[Total Process NFR]], "")</calculatedColumnFormula>
    </tableColumn>
    <tableColumn id="24" xr3:uid="{BF10500A-8899-4D6C-A8CB-4A5A7C1A0229}" name="Total Process Path Length NFR" dataDxfId="5"/>
    <tableColumn id="25" xr3:uid="{87B8BF06-5DA6-4E05-8B2A-FC557FB28C61}" name="Difference" dataDxfId="4">
      <calculatedColumnFormula>IFERROR(tblDisplaySheet[[#This Row],[Difference]], "")</calculatedColumnFormula>
    </tableColumn>
    <tableColumn id="26" xr3:uid="{0D35A494-6812-45B4-9A38-53DB616F8386}" name="Status" dataDxfId="3">
      <calculatedColumnFormula>IFERROR(tblDisplaySheet[[#This Row],[Status]], "")</calculatedColumnFormula>
    </tableColumn>
    <tableColumn id="13" xr3:uid="{6895DCB4-A91C-45E0-939D-9CC3890229F9}" name="Is Leaf?" dataDxfId="2">
      <calculatedColumnFormula>IFERROR(tblDisplaySheet[[#This Row],[Is Leaf?]], "")</calculatedColumnFormula>
    </tableColumn>
    <tableColumn id="20" xr3:uid="{4E3947EE-3618-4365-8E97-1076D574ACF9}" name="Owner" dataDxfId="1">
      <calculatedColumnFormula>IFERROR(IF(tblInputSheet[[#This Row],[Owner]] = "", "", tblInputSheet[[#This Row],[Owner]]), "")</calculatedColumnFormula>
    </tableColumn>
    <tableColumn id="1" xr3:uid="{A701C84C-D777-452B-ABE0-3BE9BFB7439A}" name="Notes" dataDxfId="0">
      <calculatedColumnFormula>IFERROR(IF(tblInputSheet[[#This Row],[Notes]] = "", "", tblInputSheet[[#This Row],[Notes]]), "")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88421D-C7D8-4DB2-8782-D2F6B7F1BD07}" name="tblHosted_PlatformOwner3" displayName="tblHosted_PlatformOwner3" ref="B3:E14" totalsRowShown="0">
  <autoFilter ref="B3:E14" xr:uid="{501273E6-A2AD-4CBF-A27F-52DDABB009C5}"/>
  <tableColumns count="4">
    <tableColumn id="1" xr3:uid="{824F3683-F717-40EE-BB4F-33C6B4CDCF61}" name="CategoryName"/>
    <tableColumn id="5" xr3:uid="{6B5856D1-2D26-4590-B254-1A4995BD2806}" name="CategoryCode"/>
    <tableColumn id="4" xr3:uid="{4C154F78-18C2-46A2-81D9-0759BF55755A}" name="Color"/>
    <tableColumn id="3" xr3:uid="{D971A660-4B81-4CEE-9DA2-93B0B391132A}" name="CategoryDescription">
      <calculatedColumnFormula>B4&amp;":"&amp;#REF!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C4BC02F-F5C8-414A-A2ED-590581787F9D}" name="tblParticipants4" displayName="tblParticipants4" ref="G3:J19" totalsRowShown="0">
  <autoFilter ref="G3:J19" xr:uid="{CC372206-16A6-47B2-AC19-E0C8C5B8E260}"/>
  <tableColumns count="4">
    <tableColumn id="1" xr3:uid="{BEADA088-F1F8-4683-B92F-B6A2F6F27AB3}" name="ParticipantName"/>
    <tableColumn id="5" xr3:uid="{2E6D3175-2011-4DD5-9AA5-0654E7F06AB5}" name="ParticipantCode"/>
    <tableColumn id="4" xr3:uid="{A7751944-852A-4614-8226-43147E1AB1F7}" name="Color"/>
    <tableColumn id="3" xr3:uid="{D2958E53-D91A-4D46-BB3D-8945DA21049E}" name="ParticipantDescription">
      <calculatedColumnFormula>H4&amp;":"&amp;G4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A36816-504A-432D-8F33-86F3FBBF7F00}" name="tblIntegrationPartten5" displayName="tblIntegrationPartten5" ref="L3:O15" totalsRowShown="0">
  <autoFilter ref="L3:O15" xr:uid="{79599A6A-6D3A-4925-AD55-2E033014B3AA}"/>
  <tableColumns count="4">
    <tableColumn id="1" xr3:uid="{F482F11B-D0EC-4071-BD3B-B79A64791D4F}" name="IntegrationPatternName"/>
    <tableColumn id="5" xr3:uid="{E358675E-66E7-4629-9E96-F192CC3652A8}" name="IntegrationPatternCode"/>
    <tableColumn id="4" xr3:uid="{47038750-24B5-4ACC-B35A-618773907562}" name="Color"/>
    <tableColumn id="3" xr3:uid="{504C108A-7154-4A82-A056-B9EEB7DDCACA}" name="IntegrationPatternDescription">
      <calculatedColumnFormula>M4&amp;":"&amp;L4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8D9F1C8-007B-4678-A8DA-6B10077A7FE0}" name="Table56" displayName="Table56" ref="Y3:AA7" totalsRowShown="0">
  <autoFilter ref="Y3:AA7" xr:uid="{1CF380AC-09F4-4DFA-AED6-1E619B9DA17E}"/>
  <tableColumns count="3">
    <tableColumn id="1" xr3:uid="{5361D13C-962A-414E-9ED4-073B9A946F41}" name="Yes/No/Unknown"/>
    <tableColumn id="2" xr3:uid="{829A5FFA-2A7B-4129-BFC0-AABADFE60860}" name="Color"/>
    <tableColumn id="3" xr3:uid="{7F4FF61A-3116-4BE1-B48A-E7C47C4DD61B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F56C6C-B468-4D60-8C34-DF4DB64302FD}" name="tblStatus7" displayName="tblStatus7" ref="Q3:S7" totalsRowShown="0">
  <autoFilter ref="Q3:S7" xr:uid="{71303100-D924-4E5A-8849-F43B2587B8EC}"/>
  <tableColumns count="3">
    <tableColumn id="1" xr3:uid="{7BE46E14-0061-4CAE-8F30-A2E0ADA130B4}" name="MetricsStatusCode"/>
    <tableColumn id="3" xr3:uid="{B4C21506-E18A-4877-AFC1-C5D81BC59BCD}" name="Color"/>
    <tableColumn id="4" xr3:uid="{4F390232-FBC2-447B-B39B-9BF5F9553966}" name="MetricsStatus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4A0BC-2A54-477C-89FD-296024BF1F09}" name="tblConfidenceFactor8" displayName="tblConfidenceFactor8" ref="U3:W8" totalsRowShown="0">
  <autoFilter ref="U3:W8" xr:uid="{B96A8932-CECF-4C1D-B5BF-E516B7871A23}"/>
  <tableColumns count="3">
    <tableColumn id="1" xr3:uid="{6ECA1312-5CB6-49FF-9A5A-F9C6C4D32CC0}" name="ConfidenceLevel"/>
    <tableColumn id="2" xr3:uid="{6EE10DF2-6707-4F2E-A84C-26FFCCB8CC6D}" name="Color"/>
    <tableColumn id="4" xr3:uid="{CE8F6814-AC63-4EE2-8833-297F2E254F3C}" name="ConfidenceLevel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09C42A-3C83-42DC-BB91-688D88F9BAF8}" name="tblHosted_PlatformOwner" displayName="tblHosted_PlatformOwner" ref="B3:E14" totalsRowShown="0">
  <autoFilter ref="B3:E14" xr:uid="{501273E6-A2AD-4CBF-A27F-52DDABB009C5}"/>
  <tableColumns count="4">
    <tableColumn id="1" xr3:uid="{173E39F3-DE27-47D5-849D-77D20CFF3840}" name="CategoryName"/>
    <tableColumn id="5" xr3:uid="{13ECC598-1772-40E5-870F-BB80B2F43FF9}" name="CategoryCode"/>
    <tableColumn id="4" xr3:uid="{4705CC5A-F9B7-447C-9F25-0358D52D5AF8}" name="Color"/>
    <tableColumn id="3" xr3:uid="{E9A256D4-2579-4DC1-AD86-7B044713BF3C}" name="CategoryDescription">
      <calculatedColumnFormula>B4&amp;":"&amp;#REF!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B629EF8-05AB-44AA-9761-72DBDB5AFBA8}" name="tblParticipants" displayName="tblParticipants" ref="G3:J19" totalsRowShown="0">
  <autoFilter ref="G3:J19" xr:uid="{CC372206-16A6-47B2-AC19-E0C8C5B8E260}"/>
  <tableColumns count="4">
    <tableColumn id="1" xr3:uid="{6DF6606B-1878-4E07-AC78-86DA404FCC2C}" name="ParticipantName"/>
    <tableColumn id="5" xr3:uid="{8B59D4C4-BE29-4CE6-B140-579824862762}" name="ParticipantCode"/>
    <tableColumn id="4" xr3:uid="{66973812-D9CE-4939-9235-28E889D8D3A7}" name="Color"/>
    <tableColumn id="3" xr3:uid="{01BD5991-37E1-4F54-8F0A-98CED753A20E}" name="ParticipantDescription">
      <calculatedColumnFormula>G4&amp;":"&amp;#REF!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F43D9F1-0EA6-422C-B925-6ED0FAE4D402}" name="tblIntegrationPartten" displayName="tblIntegrationPartten" ref="L3:O15" totalsRowShown="0">
  <autoFilter ref="L3:O15" xr:uid="{79599A6A-6D3A-4925-AD55-2E033014B3AA}"/>
  <tableColumns count="4">
    <tableColumn id="1" xr3:uid="{CDA34171-9EE8-4B2C-8F24-B1C1B2643516}" name="IntegrationPatternName"/>
    <tableColumn id="5" xr3:uid="{5A6B81E0-089F-4F2D-8C1A-63CFD3AC43E8}" name="IntegrationPatternCode"/>
    <tableColumn id="4" xr3:uid="{F1230AFD-F86F-4177-8C2A-B7A08F68673E}" name="Color"/>
    <tableColumn id="3" xr3:uid="{C7BF55C3-B93A-4E27-916E-98900A48E158}" name="IntegrationPatternDescription">
      <calculatedColumnFormula>M4&amp;":"&amp;L4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5D23BCE-2312-4E0A-85C4-7DFAB616FFD7}" name="Table5" displayName="Table5" ref="Y3:AA7" totalsRowShown="0">
  <autoFilter ref="Y3:AA7" xr:uid="{1CF380AC-09F4-4DFA-AED6-1E619B9DA17E}"/>
  <tableColumns count="3">
    <tableColumn id="1" xr3:uid="{90F482D8-3DA2-4B82-9CCC-0EDB11D821F4}" name="Yes/No/Unknown"/>
    <tableColumn id="2" xr3:uid="{08EDE69D-BC01-4E43-94B6-59992355638A}" name="Color"/>
    <tableColumn id="3" xr3:uid="{7015BCEB-C2D3-4684-95D5-0652DB86A009}" name="Descripti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C0A3851-E2C6-407F-9473-725481167847}" name="tblStatus" displayName="tblStatus" ref="Q3:S7" totalsRowShown="0">
  <autoFilter ref="Q3:S7" xr:uid="{71303100-D924-4E5A-8849-F43B2587B8EC}"/>
  <tableColumns count="3">
    <tableColumn id="1" xr3:uid="{8E150B46-DB68-409A-97EF-C0299266F423}" name="MetricsStatusCode"/>
    <tableColumn id="3" xr3:uid="{F8B624E6-0CDC-4B15-9448-C9C6060A8196}" name="Color"/>
    <tableColumn id="4" xr3:uid="{CE882A78-8516-450F-B78E-46D3B9D60014}" name="MetricsStatusDescriptio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B05F745-D671-4B8B-8D86-4C969F9CEB12}" name="tblConfidenceFactor" displayName="tblConfidenceFactor" ref="U3:W8" totalsRowShown="0">
  <autoFilter ref="U3:W8" xr:uid="{B96A8932-CECF-4C1D-B5BF-E516B7871A23}"/>
  <tableColumns count="3">
    <tableColumn id="1" xr3:uid="{0D5EDF2B-CE66-439D-9896-35A35DAA6081}" name="ConfidenceLevel"/>
    <tableColumn id="2" xr3:uid="{7CF93036-52B4-41F0-A97A-D74C5DEB327F}" name="Color"/>
    <tableColumn id="4" xr3:uid="{5E8F2A58-1589-491A-A79E-B4276DC39605}" name="ConfidenceLevel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tables/table1.xml" Type="http://schemas.openxmlformats.org/officeDocument/2006/relationships/tabl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tables/table2.xml" Type="http://schemas.openxmlformats.org/officeDocument/2006/relationships/table"/></Relationships>
</file>

<file path=xl/worksheets/_rels/sheet3.xml.rels><?xml version="1.0" encoding="UTF-8" standalone="no"?><Relationships xmlns="http://schemas.openxmlformats.org/package/2006/relationships"><Relationship Id="rId1" Target="../tables/table3.xml" Type="http://schemas.openxmlformats.org/officeDocument/2006/relationships/table"/></Relationships>
</file>

<file path=xl/worksheets/_rels/sheet4.xml.rels><?xml version="1.0" encoding="UTF-8" standalone="no"?><Relationships xmlns="http://schemas.openxmlformats.org/package/2006/relationships"><Relationship Id="rId1" Target="../tables/table4.xml" Type="http://schemas.openxmlformats.org/officeDocument/2006/relationships/table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tables/table5.xml" Type="http://schemas.openxmlformats.org/officeDocument/2006/relationships/table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tables/table6.xml" Type="http://schemas.openxmlformats.org/officeDocument/2006/relationships/table"/><Relationship Id="rId3" Target="../tables/table7.xml" Type="http://schemas.openxmlformats.org/officeDocument/2006/relationships/table"/><Relationship Id="rId4" Target="../tables/table8.xml" Type="http://schemas.openxmlformats.org/officeDocument/2006/relationships/table"/><Relationship Id="rId5" Target="../tables/table9.xml" Type="http://schemas.openxmlformats.org/officeDocument/2006/relationships/table"/><Relationship Id="rId6" Target="../tables/table10.xml" Type="http://schemas.openxmlformats.org/officeDocument/2006/relationships/table"/><Relationship Id="rId7" Target="../tables/table11.xml" Type="http://schemas.openxmlformats.org/officeDocument/2006/relationships/table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tables/table12.xml" Type="http://schemas.openxmlformats.org/officeDocument/2006/relationships/table"/><Relationship Id="rId3" Target="../tables/table13.xml" Type="http://schemas.openxmlformats.org/officeDocument/2006/relationships/table"/><Relationship Id="rId4" Target="../tables/table14.xml" Type="http://schemas.openxmlformats.org/officeDocument/2006/relationships/table"/><Relationship Id="rId5" Target="../tables/table15.xml" Type="http://schemas.openxmlformats.org/officeDocument/2006/relationships/table"/><Relationship Id="rId6" Target="../tables/table16.xml" Type="http://schemas.openxmlformats.org/officeDocument/2006/relationships/table"/><Relationship Id="rId7" Target="../tables/table17.xml" Type="http://schemas.openxmlformats.org/officeDocument/2006/relationships/table"/></Relationships>
</file>

<file path=xl/worksheets/_rels/sheet8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2A7E8-357C-48E2-B26D-B831ABE9D223}">
  <sheetPr codeName="Sheet1"/>
  <dimension ref="A1:AQ88"/>
  <sheetViews>
    <sheetView zoomScale="115" zoomScaleNormal="115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E21" sqref="E21"/>
    </sheetView>
  </sheetViews>
  <sheetFormatPr defaultRowHeight="15" x14ac:dyDescent="0.25"/>
  <cols>
    <col min="1" max="1" width="7.7109375" bestFit="1" customWidth="1"/>
    <col min="2" max="3" width="8.7109375" bestFit="1" customWidth="1"/>
    <col min="4" max="4" width="29.5703125" bestFit="1" customWidth="1"/>
    <col min="5" max="5" width="45" bestFit="1" customWidth="1"/>
    <col min="6" max="6" width="10.42578125" style="7" bestFit="1" customWidth="1"/>
    <col min="7" max="7" width="24.140625" customWidth="1"/>
    <col min="8" max="9" width="25.140625" bestFit="1" customWidth="1"/>
    <col min="10" max="10" width="27.7109375" bestFit="1" customWidth="1"/>
    <col min="11" max="11" width="15.7109375" bestFit="1" customWidth="1"/>
    <col min="12" max="12" width="12.42578125" bestFit="1" customWidth="1"/>
    <col min="13" max="13" width="11" bestFit="1" customWidth="1"/>
    <col min="14" max="14" width="13.7109375" bestFit="1" customWidth="1"/>
    <col min="15" max="15" width="14.140625" bestFit="1" customWidth="1"/>
    <col min="16" max="16" width="16" bestFit="1" customWidth="1"/>
    <col min="17" max="17" width="13.140625" bestFit="1" customWidth="1"/>
    <col min="18" max="18" width="13.5703125" bestFit="1" customWidth="1"/>
    <col min="19" max="19" width="15.5703125" bestFit="1" customWidth="1"/>
    <col min="20" max="20" width="15" bestFit="1" customWidth="1"/>
    <col min="21" max="21" width="13.85546875" customWidth="1"/>
    <col min="22" max="22" width="45.7109375" customWidth="1"/>
    <col min="26" max="26" width="37.5703125" bestFit="1" customWidth="1"/>
  </cols>
  <sheetData>
    <row r="1" spans="1:43" x14ac:dyDescent="0.25">
      <c r="A1" s="33" t="s">
        <v>150</v>
      </c>
      <c r="B1" s="34"/>
      <c r="C1" s="35"/>
      <c r="D1" s="36" t="s">
        <v>152</v>
      </c>
      <c r="E1" s="37"/>
      <c r="F1" s="37"/>
      <c r="G1" s="37"/>
      <c r="H1" s="37"/>
      <c r="I1" s="37"/>
      <c r="J1" s="37"/>
      <c r="K1" s="38" t="s">
        <v>151</v>
      </c>
      <c r="L1" s="39"/>
      <c r="M1" s="39"/>
      <c r="N1" s="39"/>
      <c r="O1" s="39"/>
      <c r="P1" s="39"/>
      <c r="Q1" s="39"/>
      <c r="R1" s="39"/>
      <c r="S1" s="39"/>
      <c r="T1" s="39"/>
    </row>
    <row r="2" spans="1:43" s="8" customFormat="1" ht="33" customHeight="1" x14ac:dyDescent="0.25">
      <c r="A2" s="3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228</v>
      </c>
      <c r="G2" s="4" t="s">
        <v>148</v>
      </c>
      <c r="H2" s="4" t="s">
        <v>31</v>
      </c>
      <c r="I2" s="4" t="s">
        <v>149</v>
      </c>
      <c r="J2" s="4" t="s">
        <v>5</v>
      </c>
      <c r="K2" s="4" t="s">
        <v>6</v>
      </c>
      <c r="L2" s="4" t="s">
        <v>7</v>
      </c>
      <c r="M2" s="5" t="s">
        <v>8</v>
      </c>
      <c r="N2" s="4" t="s">
        <v>9</v>
      </c>
      <c r="O2" s="4" t="s">
        <v>10</v>
      </c>
      <c r="P2" s="4" t="s">
        <v>11</v>
      </c>
      <c r="Q2" s="4" t="s">
        <v>12</v>
      </c>
      <c r="R2" s="4" t="s">
        <v>13</v>
      </c>
      <c r="S2" s="4" t="s">
        <v>14</v>
      </c>
      <c r="T2" s="4" t="s">
        <v>15</v>
      </c>
      <c r="U2" s="4" t="s">
        <v>244</v>
      </c>
      <c r="V2" s="4" t="s">
        <v>162</v>
      </c>
    </row>
    <row r="3" spans="1:43" x14ac:dyDescent="0.25">
      <c r="A3">
        <v>0</v>
      </c>
      <c r="B3">
        <v>0</v>
      </c>
      <c r="C3">
        <v>1</v>
      </c>
      <c r="D3" t="s">
        <v>16</v>
      </c>
      <c r="E3" t="s">
        <v>16</v>
      </c>
      <c r="F3" s="7" t="s">
        <v>21</v>
      </c>
      <c r="G3" t="s">
        <v>17</v>
      </c>
      <c r="H3" t="s">
        <v>82</v>
      </c>
      <c r="I3" t="s">
        <v>82</v>
      </c>
      <c r="J3" t="s">
        <v>3</v>
      </c>
      <c r="K3" t="s">
        <v>20</v>
      </c>
      <c r="L3" t="s">
        <v>20</v>
      </c>
      <c r="M3" t="s">
        <v>20</v>
      </c>
      <c r="N3" t="s">
        <v>21</v>
      </c>
      <c r="O3">
        <v>0</v>
      </c>
      <c r="P3">
        <v>0</v>
      </c>
      <c r="Q3">
        <v>0</v>
      </c>
      <c r="R3">
        <v>0</v>
      </c>
      <c r="S3">
        <v>0</v>
      </c>
      <c r="T3">
        <v>3000</v>
      </c>
      <c r="U3" s="7" t="s">
        <v>246</v>
      </c>
      <c r="V3" s="7"/>
    </row>
    <row r="4" spans="1:43" x14ac:dyDescent="0.25">
      <c r="A4">
        <v>1</v>
      </c>
      <c r="B4">
        <v>1</v>
      </c>
      <c r="C4">
        <v>2</v>
      </c>
      <c r="D4" t="s">
        <v>163</v>
      </c>
      <c r="E4" t="s">
        <v>163</v>
      </c>
      <c r="F4" s="7" t="s">
        <v>73</v>
      </c>
      <c r="G4" t="s">
        <v>97</v>
      </c>
      <c r="H4" t="s">
        <v>99</v>
      </c>
      <c r="I4" t="s">
        <v>99</v>
      </c>
      <c r="J4" t="s">
        <v>140</v>
      </c>
      <c r="K4" t="s">
        <v>20</v>
      </c>
      <c r="L4" t="s">
        <v>73</v>
      </c>
      <c r="M4" t="s">
        <v>73</v>
      </c>
      <c r="N4" t="s">
        <v>21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 s="7" t="s">
        <v>247</v>
      </c>
      <c r="V4" s="7"/>
    </row>
    <row r="5" spans="1:43" x14ac:dyDescent="0.25">
      <c r="A5">
        <v>2</v>
      </c>
      <c r="B5">
        <v>2</v>
      </c>
      <c r="C5">
        <v>3</v>
      </c>
      <c r="D5" t="s">
        <v>167</v>
      </c>
      <c r="E5" t="s">
        <v>167</v>
      </c>
      <c r="F5" s="7" t="s">
        <v>21</v>
      </c>
      <c r="G5" t="s">
        <v>17</v>
      </c>
      <c r="H5" t="s">
        <v>82</v>
      </c>
      <c r="I5" t="s">
        <v>82</v>
      </c>
      <c r="J5" t="s">
        <v>198</v>
      </c>
      <c r="K5" t="s">
        <v>20</v>
      </c>
      <c r="L5" t="s">
        <v>20</v>
      </c>
      <c r="M5" t="s">
        <v>20</v>
      </c>
      <c r="N5" t="s">
        <v>21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 s="7" t="s">
        <v>247</v>
      </c>
      <c r="V5" s="7"/>
    </row>
    <row r="6" spans="1:43" x14ac:dyDescent="0.25">
      <c r="A6">
        <v>3</v>
      </c>
      <c r="B6">
        <v>3</v>
      </c>
      <c r="C6">
        <v>4</v>
      </c>
      <c r="D6" t="s">
        <v>167</v>
      </c>
      <c r="E6" t="s">
        <v>170</v>
      </c>
      <c r="F6" s="7" t="s">
        <v>73</v>
      </c>
      <c r="G6" s="7" t="s">
        <v>97</v>
      </c>
      <c r="H6" s="7" t="s">
        <v>99</v>
      </c>
      <c r="I6" s="7" t="s">
        <v>99</v>
      </c>
      <c r="J6" s="7" t="s">
        <v>140</v>
      </c>
      <c r="K6" s="7" t="s">
        <v>20</v>
      </c>
      <c r="L6" s="7" t="s">
        <v>20</v>
      </c>
      <c r="M6" s="7" t="s">
        <v>73</v>
      </c>
      <c r="N6" s="7" t="s">
        <v>57</v>
      </c>
      <c r="O6" s="7">
        <v>1</v>
      </c>
      <c r="P6" s="7">
        <v>0</v>
      </c>
      <c r="Q6" s="7">
        <v>10</v>
      </c>
      <c r="R6" s="7">
        <v>0</v>
      </c>
      <c r="S6" s="7">
        <v>0</v>
      </c>
      <c r="T6" s="7">
        <v>20</v>
      </c>
      <c r="U6" s="7" t="s">
        <v>247</v>
      </c>
      <c r="V6" s="7"/>
    </row>
    <row r="7" spans="1:43" s="7" customFormat="1" x14ac:dyDescent="0.25">
      <c r="A7" s="7">
        <v>4</v>
      </c>
      <c r="B7" s="7">
        <v>4</v>
      </c>
      <c r="C7" s="7">
        <v>5</v>
      </c>
      <c r="D7" s="7" t="s">
        <v>167</v>
      </c>
      <c r="E7" s="7" t="s">
        <v>183</v>
      </c>
      <c r="F7" s="7" t="s">
        <v>73</v>
      </c>
      <c r="G7" s="7" t="s">
        <v>76</v>
      </c>
      <c r="H7" s="7" t="s">
        <v>64</v>
      </c>
      <c r="I7" s="7" t="s">
        <v>64</v>
      </c>
      <c r="J7" s="7" t="s">
        <v>198</v>
      </c>
      <c r="K7" s="7" t="s">
        <v>20</v>
      </c>
      <c r="L7" s="7" t="s">
        <v>73</v>
      </c>
      <c r="M7" s="7" t="s">
        <v>20</v>
      </c>
      <c r="N7" s="7" t="s">
        <v>57</v>
      </c>
      <c r="O7" s="7">
        <v>1</v>
      </c>
      <c r="P7" s="7">
        <v>0</v>
      </c>
      <c r="Q7" s="7">
        <v>16</v>
      </c>
      <c r="R7" s="7">
        <v>0</v>
      </c>
      <c r="S7" s="7">
        <v>15</v>
      </c>
      <c r="T7" s="7">
        <v>40</v>
      </c>
      <c r="U7" s="7" t="s">
        <v>247</v>
      </c>
      <c r="AL7" s="7">
        <v>151</v>
      </c>
      <c r="AM7" s="7">
        <v>250</v>
      </c>
    </row>
    <row r="8" spans="1:43" x14ac:dyDescent="0.25">
      <c r="A8">
        <v>5</v>
      </c>
      <c r="B8">
        <v>5</v>
      </c>
      <c r="C8" s="7">
        <v>6</v>
      </c>
      <c r="D8" t="s">
        <v>167</v>
      </c>
      <c r="E8" t="s">
        <v>171</v>
      </c>
      <c r="F8" s="7" t="s">
        <v>73</v>
      </c>
      <c r="G8" t="s">
        <v>62</v>
      </c>
      <c r="H8" t="s">
        <v>64</v>
      </c>
      <c r="I8" t="s">
        <v>64</v>
      </c>
      <c r="J8" t="s">
        <v>252</v>
      </c>
      <c r="K8" t="s">
        <v>20</v>
      </c>
      <c r="L8" t="s">
        <v>20</v>
      </c>
      <c r="M8" t="s">
        <v>20</v>
      </c>
      <c r="N8" t="s">
        <v>57</v>
      </c>
      <c r="O8">
        <v>1</v>
      </c>
      <c r="P8">
        <v>0</v>
      </c>
      <c r="Q8">
        <v>5</v>
      </c>
      <c r="R8">
        <v>0</v>
      </c>
      <c r="S8">
        <v>5</v>
      </c>
      <c r="T8">
        <v>20</v>
      </c>
      <c r="U8" s="7" t="s">
        <v>247</v>
      </c>
      <c r="V8" s="7"/>
      <c r="AL8">
        <v>125</v>
      </c>
      <c r="AM8">
        <v>210</v>
      </c>
      <c r="AO8" t="s">
        <v>171</v>
      </c>
      <c r="AP8">
        <v>135</v>
      </c>
      <c r="AQ8">
        <v>185</v>
      </c>
    </row>
    <row r="9" spans="1:43" x14ac:dyDescent="0.25">
      <c r="A9" s="7">
        <v>6</v>
      </c>
      <c r="B9">
        <v>6</v>
      </c>
      <c r="C9" s="7">
        <v>7</v>
      </c>
      <c r="D9" t="s">
        <v>167</v>
      </c>
      <c r="E9" t="s">
        <v>287</v>
      </c>
      <c r="F9" s="7" t="s">
        <v>73</v>
      </c>
      <c r="G9" t="s">
        <v>62</v>
      </c>
      <c r="H9" t="s">
        <v>64</v>
      </c>
      <c r="I9" t="s">
        <v>64</v>
      </c>
      <c r="J9" s="7" t="s">
        <v>252</v>
      </c>
      <c r="K9" t="s">
        <v>20</v>
      </c>
      <c r="L9" t="s">
        <v>20</v>
      </c>
      <c r="M9" t="s">
        <v>20</v>
      </c>
      <c r="N9" t="s">
        <v>57</v>
      </c>
      <c r="O9">
        <v>1</v>
      </c>
      <c r="P9">
        <v>0</v>
      </c>
      <c r="Q9">
        <v>20</v>
      </c>
      <c r="R9">
        <v>0</v>
      </c>
      <c r="S9">
        <v>5</v>
      </c>
      <c r="T9">
        <v>25</v>
      </c>
      <c r="U9" s="7" t="s">
        <v>247</v>
      </c>
      <c r="V9" s="7"/>
      <c r="AK9">
        <v>1</v>
      </c>
      <c r="AL9">
        <v>74</v>
      </c>
      <c r="AM9">
        <v>125</v>
      </c>
      <c r="AN9">
        <v>1</v>
      </c>
      <c r="AO9" t="s">
        <v>287</v>
      </c>
      <c r="AP9">
        <v>25</v>
      </c>
    </row>
    <row r="10" spans="1:43" x14ac:dyDescent="0.25">
      <c r="A10" s="7">
        <v>7</v>
      </c>
      <c r="B10" s="7">
        <v>7</v>
      </c>
      <c r="C10" s="7">
        <v>8</v>
      </c>
      <c r="D10" s="7" t="s">
        <v>167</v>
      </c>
      <c r="E10" s="7" t="s">
        <v>172</v>
      </c>
      <c r="F10" s="7" t="s">
        <v>20</v>
      </c>
      <c r="G10" s="7" t="s">
        <v>62</v>
      </c>
      <c r="H10" s="7" t="s">
        <v>64</v>
      </c>
      <c r="I10" s="7" t="s">
        <v>64</v>
      </c>
      <c r="J10" s="7" t="s">
        <v>252</v>
      </c>
      <c r="K10" s="7" t="s">
        <v>20</v>
      </c>
      <c r="L10" s="7" t="s">
        <v>20</v>
      </c>
      <c r="M10" s="7" t="s">
        <v>20</v>
      </c>
      <c r="N10" s="7" t="s">
        <v>70</v>
      </c>
      <c r="O10" s="7">
        <v>1</v>
      </c>
      <c r="P10" s="7">
        <v>0</v>
      </c>
      <c r="Q10" s="7">
        <v>1</v>
      </c>
      <c r="R10" s="7">
        <v>0</v>
      </c>
      <c r="S10" s="7">
        <v>5</v>
      </c>
      <c r="T10" s="7">
        <v>10</v>
      </c>
      <c r="U10" s="7" t="s">
        <v>247</v>
      </c>
      <c r="V10" s="7"/>
      <c r="AL10">
        <v>24</v>
      </c>
      <c r="AM10">
        <v>35</v>
      </c>
      <c r="AN10">
        <v>1</v>
      </c>
      <c r="AO10" t="s">
        <v>172</v>
      </c>
      <c r="AP10">
        <v>6</v>
      </c>
    </row>
    <row r="11" spans="1:43" x14ac:dyDescent="0.25">
      <c r="A11" s="7">
        <v>7</v>
      </c>
      <c r="B11" s="7">
        <v>7</v>
      </c>
      <c r="C11" s="7">
        <v>9</v>
      </c>
      <c r="D11" s="7" t="s">
        <v>167</v>
      </c>
      <c r="E11" s="7" t="s">
        <v>179</v>
      </c>
      <c r="F11" s="7" t="s">
        <v>20</v>
      </c>
      <c r="G11" s="7" t="s">
        <v>62</v>
      </c>
      <c r="H11" s="7" t="s">
        <v>64</v>
      </c>
      <c r="I11" s="7" t="s">
        <v>64</v>
      </c>
      <c r="J11" s="7" t="s">
        <v>252</v>
      </c>
      <c r="K11" s="7" t="s">
        <v>20</v>
      </c>
      <c r="L11" s="7" t="s">
        <v>20</v>
      </c>
      <c r="M11" s="7" t="s">
        <v>20</v>
      </c>
      <c r="N11" s="7" t="s">
        <v>70</v>
      </c>
      <c r="O11" s="7">
        <v>1</v>
      </c>
      <c r="P11" s="7">
        <v>5</v>
      </c>
      <c r="Q11" s="7">
        <v>30</v>
      </c>
      <c r="R11" s="7">
        <v>0</v>
      </c>
      <c r="S11" s="7">
        <v>10</v>
      </c>
      <c r="T11" s="7">
        <v>50</v>
      </c>
      <c r="U11" s="7" t="s">
        <v>249</v>
      </c>
      <c r="V11" s="7"/>
      <c r="AL11">
        <v>74</v>
      </c>
      <c r="AO11" t="s">
        <v>179</v>
      </c>
      <c r="AQ11" s="7">
        <v>50</v>
      </c>
    </row>
    <row r="12" spans="1:43" x14ac:dyDescent="0.25">
      <c r="A12" s="7">
        <v>7</v>
      </c>
      <c r="B12">
        <v>7</v>
      </c>
      <c r="C12" s="7">
        <v>10</v>
      </c>
      <c r="D12" t="s">
        <v>167</v>
      </c>
      <c r="E12" t="s">
        <v>173</v>
      </c>
      <c r="F12" s="7" t="s">
        <v>20</v>
      </c>
      <c r="G12" t="s">
        <v>62</v>
      </c>
      <c r="H12" t="s">
        <v>64</v>
      </c>
      <c r="I12" s="7" t="s">
        <v>64</v>
      </c>
      <c r="J12" s="7" t="s">
        <v>252</v>
      </c>
      <c r="K12" t="s">
        <v>20</v>
      </c>
      <c r="L12" t="s">
        <v>20</v>
      </c>
      <c r="M12" t="s">
        <v>20</v>
      </c>
      <c r="N12" t="s">
        <v>57</v>
      </c>
      <c r="O12">
        <v>1</v>
      </c>
      <c r="P12">
        <v>1</v>
      </c>
      <c r="Q12">
        <v>12</v>
      </c>
      <c r="R12">
        <v>0</v>
      </c>
      <c r="S12">
        <v>5</v>
      </c>
      <c r="T12">
        <v>20</v>
      </c>
      <c r="U12" s="7" t="s">
        <v>247</v>
      </c>
      <c r="V12" s="7"/>
      <c r="AL12">
        <v>24</v>
      </c>
      <c r="AM12">
        <v>125</v>
      </c>
      <c r="AN12">
        <v>1</v>
      </c>
      <c r="AO12" t="s">
        <v>173</v>
      </c>
      <c r="AP12">
        <v>18</v>
      </c>
    </row>
    <row r="13" spans="1:43" x14ac:dyDescent="0.25">
      <c r="A13" s="7">
        <v>7</v>
      </c>
      <c r="B13">
        <v>7</v>
      </c>
      <c r="C13" s="7">
        <v>11</v>
      </c>
      <c r="D13" t="s">
        <v>167</v>
      </c>
      <c r="E13" s="7" t="s">
        <v>184</v>
      </c>
      <c r="F13" s="7" t="s">
        <v>20</v>
      </c>
      <c r="G13" t="s">
        <v>62</v>
      </c>
      <c r="H13" t="s">
        <v>64</v>
      </c>
      <c r="I13" t="s">
        <v>64</v>
      </c>
      <c r="J13" t="s">
        <v>94</v>
      </c>
      <c r="K13" s="7" t="s">
        <v>20</v>
      </c>
      <c r="L13" s="7" t="s">
        <v>73</v>
      </c>
      <c r="M13" s="7" t="s">
        <v>20</v>
      </c>
      <c r="N13" s="7" t="s">
        <v>57</v>
      </c>
      <c r="O13" s="7">
        <v>0</v>
      </c>
      <c r="P13" s="7">
        <v>0</v>
      </c>
      <c r="Q13" s="7">
        <v>24</v>
      </c>
      <c r="R13" s="7">
        <v>0</v>
      </c>
      <c r="S13" s="7">
        <v>5</v>
      </c>
      <c r="T13" s="7">
        <v>30</v>
      </c>
      <c r="U13" s="7" t="s">
        <v>247</v>
      </c>
      <c r="V13" s="7" t="s">
        <v>309</v>
      </c>
      <c r="AL13">
        <v>14</v>
      </c>
      <c r="AM13">
        <v>35</v>
      </c>
      <c r="AN13">
        <v>1</v>
      </c>
      <c r="AO13" t="s">
        <v>184</v>
      </c>
      <c r="AP13">
        <v>30</v>
      </c>
    </row>
    <row r="14" spans="1:43" x14ac:dyDescent="0.25">
      <c r="A14" s="7">
        <v>6</v>
      </c>
      <c r="B14">
        <v>6</v>
      </c>
      <c r="C14" s="7">
        <v>12</v>
      </c>
      <c r="D14" t="s">
        <v>167</v>
      </c>
      <c r="E14" s="7" t="s">
        <v>174</v>
      </c>
      <c r="F14" s="7" t="s">
        <v>73</v>
      </c>
      <c r="G14" s="7" t="s">
        <v>62</v>
      </c>
      <c r="H14" s="7" t="s">
        <v>64</v>
      </c>
      <c r="I14" s="7" t="s">
        <v>64</v>
      </c>
      <c r="J14" s="7" t="s">
        <v>252</v>
      </c>
      <c r="K14" s="7" t="s">
        <v>20</v>
      </c>
      <c r="L14" s="7" t="s">
        <v>20</v>
      </c>
      <c r="M14" s="7" t="s">
        <v>20</v>
      </c>
      <c r="N14" s="7" t="s">
        <v>57</v>
      </c>
      <c r="O14" s="7">
        <v>1</v>
      </c>
      <c r="P14" s="7">
        <v>0</v>
      </c>
      <c r="Q14" s="7">
        <v>5</v>
      </c>
      <c r="R14" s="7">
        <v>0</v>
      </c>
      <c r="S14" s="7">
        <v>5</v>
      </c>
      <c r="T14" s="7">
        <v>15</v>
      </c>
      <c r="U14" s="7" t="s">
        <v>247</v>
      </c>
      <c r="V14" s="7"/>
      <c r="AL14">
        <v>14</v>
      </c>
      <c r="AM14">
        <v>20</v>
      </c>
      <c r="AO14" t="s">
        <v>174</v>
      </c>
      <c r="AP14">
        <v>10</v>
      </c>
    </row>
    <row r="15" spans="1:43" x14ac:dyDescent="0.25">
      <c r="A15">
        <v>12</v>
      </c>
      <c r="B15">
        <v>7</v>
      </c>
      <c r="C15" s="7">
        <v>13</v>
      </c>
      <c r="D15" t="s">
        <v>167</v>
      </c>
      <c r="E15" t="s">
        <v>175</v>
      </c>
      <c r="F15" s="7" t="s">
        <v>20</v>
      </c>
      <c r="G15" s="7" t="s">
        <v>62</v>
      </c>
      <c r="H15" s="7" t="s">
        <v>64</v>
      </c>
      <c r="I15" s="7" t="s">
        <v>64</v>
      </c>
      <c r="J15" s="7" t="s">
        <v>252</v>
      </c>
      <c r="K15" s="7" t="s">
        <v>20</v>
      </c>
      <c r="L15" s="7" t="s">
        <v>20</v>
      </c>
      <c r="M15" s="7" t="s">
        <v>20</v>
      </c>
      <c r="N15" s="7" t="s">
        <v>57</v>
      </c>
      <c r="O15" s="7">
        <v>1</v>
      </c>
      <c r="P15" s="7">
        <v>1</v>
      </c>
      <c r="Q15" s="7">
        <v>4</v>
      </c>
      <c r="R15" s="7">
        <v>0</v>
      </c>
      <c r="S15" s="7">
        <v>5</v>
      </c>
      <c r="T15" s="7">
        <v>15</v>
      </c>
      <c r="U15" s="7" t="s">
        <v>247</v>
      </c>
      <c r="V15" s="7"/>
      <c r="AL15">
        <v>34</v>
      </c>
      <c r="AM15">
        <v>30</v>
      </c>
      <c r="AO15" t="s">
        <v>175</v>
      </c>
      <c r="AP15">
        <v>10</v>
      </c>
    </row>
    <row r="16" spans="1:43" x14ac:dyDescent="0.25">
      <c r="A16" s="7">
        <v>12</v>
      </c>
      <c r="B16" s="7">
        <v>7</v>
      </c>
      <c r="C16" s="7">
        <v>14</v>
      </c>
      <c r="D16" s="7" t="s">
        <v>167</v>
      </c>
      <c r="E16" s="7" t="s">
        <v>172</v>
      </c>
      <c r="F16" s="7" t="s">
        <v>20</v>
      </c>
      <c r="G16" s="7" t="s">
        <v>62</v>
      </c>
      <c r="H16" s="7" t="s">
        <v>64</v>
      </c>
      <c r="I16" s="7" t="s">
        <v>64</v>
      </c>
      <c r="J16" s="7" t="s">
        <v>252</v>
      </c>
      <c r="K16" s="7" t="s">
        <v>20</v>
      </c>
      <c r="L16" s="7" t="s">
        <v>20</v>
      </c>
      <c r="M16" s="7" t="s">
        <v>20</v>
      </c>
      <c r="N16" s="7" t="s">
        <v>57</v>
      </c>
      <c r="O16" s="7">
        <v>1</v>
      </c>
      <c r="P16" s="7">
        <v>1</v>
      </c>
      <c r="Q16" s="7">
        <v>1</v>
      </c>
      <c r="R16" s="7">
        <v>0</v>
      </c>
      <c r="S16" s="7">
        <v>5</v>
      </c>
      <c r="T16" s="7">
        <v>10</v>
      </c>
      <c r="U16" s="7" t="s">
        <v>247</v>
      </c>
      <c r="V16" s="7"/>
      <c r="AO16" t="s">
        <v>172</v>
      </c>
      <c r="AP16">
        <v>6</v>
      </c>
    </row>
    <row r="17" spans="1:42" x14ac:dyDescent="0.25">
      <c r="A17">
        <v>6</v>
      </c>
      <c r="B17">
        <v>6</v>
      </c>
      <c r="C17" s="7">
        <v>15</v>
      </c>
      <c r="D17" t="s">
        <v>167</v>
      </c>
      <c r="E17" t="s">
        <v>176</v>
      </c>
      <c r="F17" s="7" t="s">
        <v>20</v>
      </c>
      <c r="G17" s="7" t="s">
        <v>62</v>
      </c>
      <c r="H17" s="7" t="s">
        <v>64</v>
      </c>
      <c r="I17" s="7" t="s">
        <v>64</v>
      </c>
      <c r="J17" s="7" t="s">
        <v>252</v>
      </c>
      <c r="K17" s="7" t="s">
        <v>20</v>
      </c>
      <c r="L17" s="7" t="s">
        <v>20</v>
      </c>
      <c r="M17" s="7" t="s">
        <v>20</v>
      </c>
      <c r="N17" s="7" t="s">
        <v>57</v>
      </c>
      <c r="O17" s="7">
        <v>1</v>
      </c>
      <c r="P17" s="7">
        <v>1</v>
      </c>
      <c r="Q17" s="7">
        <v>24</v>
      </c>
      <c r="R17" s="7">
        <v>0</v>
      </c>
      <c r="S17" s="7">
        <v>5</v>
      </c>
      <c r="T17" s="7">
        <v>35</v>
      </c>
      <c r="U17" s="7" t="s">
        <v>247</v>
      </c>
      <c r="V17" s="7"/>
      <c r="AO17" t="s">
        <v>176</v>
      </c>
      <c r="AP17">
        <v>30</v>
      </c>
    </row>
    <row r="18" spans="1:42" x14ac:dyDescent="0.25">
      <c r="A18" s="7">
        <v>2</v>
      </c>
      <c r="B18" s="7">
        <v>2</v>
      </c>
      <c r="C18" s="7">
        <v>16</v>
      </c>
      <c r="D18" s="7" t="s">
        <v>305</v>
      </c>
      <c r="E18" s="7" t="s">
        <v>305</v>
      </c>
      <c r="F18" s="7" t="s">
        <v>21</v>
      </c>
      <c r="G18" s="7" t="s">
        <v>17</v>
      </c>
      <c r="H18" s="7" t="s">
        <v>82</v>
      </c>
      <c r="I18" s="7" t="s">
        <v>82</v>
      </c>
      <c r="J18" s="7" t="s">
        <v>3</v>
      </c>
      <c r="K18" s="7" t="s">
        <v>20</v>
      </c>
      <c r="L18" s="7" t="s">
        <v>20</v>
      </c>
      <c r="M18" s="7" t="s">
        <v>20</v>
      </c>
      <c r="N18" s="7" t="s">
        <v>21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 t="s">
        <v>247</v>
      </c>
      <c r="V18" s="7"/>
    </row>
    <row r="19" spans="1:42" x14ac:dyDescent="0.25">
      <c r="A19" s="7">
        <v>16</v>
      </c>
      <c r="B19" s="7">
        <v>3</v>
      </c>
      <c r="C19" s="7">
        <v>17</v>
      </c>
      <c r="D19" s="7" t="s">
        <v>306</v>
      </c>
      <c r="E19" s="7" t="s">
        <v>306</v>
      </c>
      <c r="F19" s="7" t="s">
        <v>20</v>
      </c>
      <c r="G19" s="7" t="s">
        <v>97</v>
      </c>
      <c r="H19" s="7" t="s">
        <v>99</v>
      </c>
      <c r="I19" s="7" t="s">
        <v>99</v>
      </c>
      <c r="J19" s="7" t="s">
        <v>140</v>
      </c>
      <c r="K19" s="7" t="s">
        <v>20</v>
      </c>
      <c r="L19" s="7" t="s">
        <v>20</v>
      </c>
      <c r="M19" s="7" t="s">
        <v>20</v>
      </c>
      <c r="N19" s="7" t="s">
        <v>70</v>
      </c>
      <c r="O19" s="7">
        <v>1</v>
      </c>
      <c r="P19" s="7">
        <v>0</v>
      </c>
      <c r="Q19" s="7">
        <v>42</v>
      </c>
      <c r="R19" s="7">
        <v>0</v>
      </c>
      <c r="S19" s="7">
        <v>0</v>
      </c>
      <c r="T19" s="7">
        <v>45</v>
      </c>
      <c r="U19" s="7" t="s">
        <v>247</v>
      </c>
      <c r="V19" s="7"/>
    </row>
    <row r="20" spans="1:42" s="7" customFormat="1" x14ac:dyDescent="0.25">
      <c r="A20">
        <v>2</v>
      </c>
      <c r="B20">
        <v>2</v>
      </c>
      <c r="C20" s="7">
        <v>18</v>
      </c>
      <c r="D20" t="s">
        <v>168</v>
      </c>
      <c r="E20" t="s">
        <v>168</v>
      </c>
      <c r="F20" s="7" t="s">
        <v>21</v>
      </c>
      <c r="G20" s="7" t="s">
        <v>17</v>
      </c>
      <c r="H20" s="7" t="s">
        <v>82</v>
      </c>
      <c r="I20" s="7" t="s">
        <v>82</v>
      </c>
      <c r="J20" s="7" t="s">
        <v>3</v>
      </c>
      <c r="K20" s="7" t="s">
        <v>20</v>
      </c>
      <c r="L20" s="7" t="s">
        <v>20</v>
      </c>
      <c r="M20" s="7" t="s">
        <v>20</v>
      </c>
      <c r="N20" s="7" t="s">
        <v>21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 t="s">
        <v>247</v>
      </c>
    </row>
    <row r="21" spans="1:42" s="25" customFormat="1" x14ac:dyDescent="0.25">
      <c r="A21">
        <v>18</v>
      </c>
      <c r="B21">
        <v>3</v>
      </c>
      <c r="C21" s="7">
        <v>19</v>
      </c>
      <c r="D21" t="s">
        <v>168</v>
      </c>
      <c r="E21" t="s">
        <v>245</v>
      </c>
      <c r="F21" s="7" t="s">
        <v>73</v>
      </c>
      <c r="G21" t="s">
        <v>97</v>
      </c>
      <c r="H21" t="s">
        <v>99</v>
      </c>
      <c r="I21" t="s">
        <v>99</v>
      </c>
      <c r="J21" t="s">
        <v>140</v>
      </c>
      <c r="K21" s="7" t="s">
        <v>20</v>
      </c>
      <c r="L21" s="7" t="s">
        <v>73</v>
      </c>
      <c r="M21" s="7" t="s">
        <v>20</v>
      </c>
      <c r="N21" s="7" t="s">
        <v>84</v>
      </c>
      <c r="O21" s="7">
        <v>1</v>
      </c>
      <c r="P21" s="7">
        <v>1</v>
      </c>
      <c r="Q21" s="7">
        <v>5</v>
      </c>
      <c r="R21" s="7">
        <v>0</v>
      </c>
      <c r="S21" s="7">
        <v>1</v>
      </c>
      <c r="T21" s="7">
        <v>10</v>
      </c>
      <c r="U21" s="7" t="s">
        <v>247</v>
      </c>
      <c r="V21" s="7"/>
    </row>
    <row r="22" spans="1:42" s="25" customFormat="1" x14ac:dyDescent="0.25">
      <c r="A22" s="7">
        <v>19</v>
      </c>
      <c r="B22" s="7">
        <v>4</v>
      </c>
      <c r="C22" s="7">
        <v>20</v>
      </c>
      <c r="D22" s="7" t="s">
        <v>168</v>
      </c>
      <c r="E22" s="7" t="s">
        <v>322</v>
      </c>
      <c r="F22" s="7" t="s">
        <v>20</v>
      </c>
      <c r="G22" s="7" t="s">
        <v>97</v>
      </c>
      <c r="H22" s="7" t="s">
        <v>99</v>
      </c>
      <c r="I22" s="7" t="s">
        <v>99</v>
      </c>
      <c r="J22" s="7" t="s">
        <v>140</v>
      </c>
      <c r="K22" s="7" t="s">
        <v>20</v>
      </c>
      <c r="L22" s="7" t="s">
        <v>73</v>
      </c>
      <c r="M22" s="7" t="s">
        <v>20</v>
      </c>
      <c r="N22" s="7" t="s">
        <v>84</v>
      </c>
      <c r="O22" s="7">
        <v>1</v>
      </c>
      <c r="P22" s="7">
        <v>1</v>
      </c>
      <c r="Q22" s="7">
        <v>5</v>
      </c>
      <c r="R22" s="7">
        <v>0</v>
      </c>
      <c r="S22" s="7">
        <v>1</v>
      </c>
      <c r="T22" s="7">
        <v>10</v>
      </c>
      <c r="U22" s="7" t="s">
        <v>247</v>
      </c>
      <c r="V22" s="7"/>
    </row>
    <row r="23" spans="1:42" s="25" customFormat="1" x14ac:dyDescent="0.25">
      <c r="A23" s="7">
        <v>19</v>
      </c>
      <c r="B23" s="7">
        <v>4</v>
      </c>
      <c r="C23" s="7">
        <v>21</v>
      </c>
      <c r="D23" s="7" t="s">
        <v>168</v>
      </c>
      <c r="E23" s="7" t="s">
        <v>317</v>
      </c>
      <c r="F23" s="7" t="s">
        <v>20</v>
      </c>
      <c r="G23" s="7" t="s">
        <v>97</v>
      </c>
      <c r="H23" s="7" t="s">
        <v>99</v>
      </c>
      <c r="I23" s="7" t="s">
        <v>99</v>
      </c>
      <c r="J23" s="7" t="s">
        <v>140</v>
      </c>
      <c r="K23" s="7" t="s">
        <v>20</v>
      </c>
      <c r="L23" s="7" t="s">
        <v>73</v>
      </c>
      <c r="M23" s="7" t="s">
        <v>20</v>
      </c>
      <c r="N23" s="7" t="s">
        <v>84</v>
      </c>
      <c r="O23" s="7">
        <v>1</v>
      </c>
      <c r="P23" s="7">
        <v>1</v>
      </c>
      <c r="Q23" s="7">
        <v>5</v>
      </c>
      <c r="R23" s="7">
        <v>0</v>
      </c>
      <c r="S23" s="7">
        <v>1</v>
      </c>
      <c r="T23" s="7">
        <v>10</v>
      </c>
      <c r="U23" s="7" t="s">
        <v>247</v>
      </c>
      <c r="V23" s="7"/>
    </row>
    <row r="24" spans="1:42" s="25" customFormat="1" x14ac:dyDescent="0.25">
      <c r="A24" s="7">
        <v>19</v>
      </c>
      <c r="B24" s="7">
        <v>4</v>
      </c>
      <c r="C24" s="7">
        <v>22</v>
      </c>
      <c r="D24" s="7" t="s">
        <v>168</v>
      </c>
      <c r="E24" s="7" t="s">
        <v>310</v>
      </c>
      <c r="F24" s="7" t="s">
        <v>73</v>
      </c>
      <c r="G24" s="7" t="s">
        <v>76</v>
      </c>
      <c r="H24" s="7" t="s">
        <v>64</v>
      </c>
      <c r="I24" s="7" t="s">
        <v>64</v>
      </c>
      <c r="J24" s="7" t="s">
        <v>198</v>
      </c>
      <c r="K24" s="7" t="s">
        <v>20</v>
      </c>
      <c r="L24" s="7" t="s">
        <v>73</v>
      </c>
      <c r="M24" s="7" t="s">
        <v>20</v>
      </c>
      <c r="N24" s="7" t="s">
        <v>84</v>
      </c>
      <c r="O24" s="7">
        <v>1</v>
      </c>
      <c r="P24" s="7">
        <v>0</v>
      </c>
      <c r="Q24" s="7">
        <v>40</v>
      </c>
      <c r="R24" s="7">
        <v>0</v>
      </c>
      <c r="S24" s="7">
        <v>25</v>
      </c>
      <c r="T24" s="7">
        <v>65</v>
      </c>
      <c r="U24" s="7" t="s">
        <v>247</v>
      </c>
      <c r="V24" s="7"/>
    </row>
    <row r="25" spans="1:42" s="25" customFormat="1" x14ac:dyDescent="0.25">
      <c r="A25">
        <v>22</v>
      </c>
      <c r="B25">
        <v>5</v>
      </c>
      <c r="C25" s="7">
        <v>23</v>
      </c>
      <c r="D25" t="s">
        <v>168</v>
      </c>
      <c r="E25" s="7" t="s">
        <v>177</v>
      </c>
      <c r="F25" s="7" t="s">
        <v>73</v>
      </c>
      <c r="G25" t="s">
        <v>62</v>
      </c>
      <c r="H25" t="s">
        <v>64</v>
      </c>
      <c r="I25" t="s">
        <v>64</v>
      </c>
      <c r="J25" s="7" t="s">
        <v>252</v>
      </c>
      <c r="K25" s="7" t="s">
        <v>20</v>
      </c>
      <c r="L25" s="7" t="s">
        <v>20</v>
      </c>
      <c r="M25" s="7" t="s">
        <v>20</v>
      </c>
      <c r="N25" s="7" t="s">
        <v>70</v>
      </c>
      <c r="O25" s="7">
        <v>1</v>
      </c>
      <c r="P25" s="7">
        <v>1</v>
      </c>
      <c r="Q25" s="7">
        <v>1</v>
      </c>
      <c r="R25" s="7">
        <v>1</v>
      </c>
      <c r="S25" s="7">
        <v>5</v>
      </c>
      <c r="T25" s="7">
        <v>10</v>
      </c>
      <c r="U25" s="7" t="s">
        <v>247</v>
      </c>
      <c r="V25" s="7"/>
    </row>
    <row r="26" spans="1:42" s="25" customFormat="1" x14ac:dyDescent="0.25">
      <c r="A26">
        <v>23</v>
      </c>
      <c r="B26">
        <v>6</v>
      </c>
      <c r="C26" s="7">
        <v>24</v>
      </c>
      <c r="D26" t="s">
        <v>168</v>
      </c>
      <c r="E26" t="s">
        <v>185</v>
      </c>
      <c r="F26" s="7" t="s">
        <v>73</v>
      </c>
      <c r="G26" t="s">
        <v>62</v>
      </c>
      <c r="H26" t="s">
        <v>64</v>
      </c>
      <c r="I26" t="s">
        <v>64</v>
      </c>
      <c r="J26" s="7" t="s">
        <v>252</v>
      </c>
      <c r="K26" s="7" t="s">
        <v>20</v>
      </c>
      <c r="L26" s="7" t="s">
        <v>20</v>
      </c>
      <c r="M26" s="7" t="s">
        <v>20</v>
      </c>
      <c r="N26" s="7" t="s">
        <v>70</v>
      </c>
      <c r="O26" s="7">
        <v>1</v>
      </c>
      <c r="P26" s="7">
        <v>1</v>
      </c>
      <c r="Q26" s="7">
        <v>1</v>
      </c>
      <c r="R26" s="7">
        <v>1</v>
      </c>
      <c r="S26" s="7">
        <v>5</v>
      </c>
      <c r="T26" s="7">
        <v>10</v>
      </c>
      <c r="U26" s="7" t="s">
        <v>247</v>
      </c>
      <c r="V26" s="7"/>
    </row>
    <row r="27" spans="1:42" s="25" customFormat="1" x14ac:dyDescent="0.25">
      <c r="A27" s="7">
        <v>24</v>
      </c>
      <c r="B27" s="7">
        <v>7</v>
      </c>
      <c r="C27" s="7">
        <v>25</v>
      </c>
      <c r="D27" s="7" t="s">
        <v>186</v>
      </c>
      <c r="E27" s="7" t="s">
        <v>187</v>
      </c>
      <c r="F27" s="7" t="s">
        <v>21</v>
      </c>
      <c r="G27" s="7" t="s">
        <v>17</v>
      </c>
      <c r="H27" s="7" t="s">
        <v>82</v>
      </c>
      <c r="I27" s="7" t="s">
        <v>82</v>
      </c>
      <c r="J27" s="7" t="s">
        <v>3</v>
      </c>
      <c r="K27" s="7" t="s">
        <v>20</v>
      </c>
      <c r="L27" s="7" t="s">
        <v>20</v>
      </c>
      <c r="M27" s="7" t="s">
        <v>20</v>
      </c>
      <c r="N27" s="7" t="s">
        <v>21</v>
      </c>
      <c r="O27" s="7">
        <v>1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 t="s">
        <v>248</v>
      </c>
      <c r="V27" s="7"/>
    </row>
    <row r="28" spans="1:42" s="25" customFormat="1" x14ac:dyDescent="0.25">
      <c r="A28" s="25">
        <v>25</v>
      </c>
      <c r="B28" s="25">
        <v>8</v>
      </c>
      <c r="C28" s="7">
        <v>26</v>
      </c>
      <c r="D28" s="25" t="s">
        <v>186</v>
      </c>
      <c r="E28" s="25" t="s">
        <v>178</v>
      </c>
      <c r="F28" s="25" t="s">
        <v>73</v>
      </c>
      <c r="G28" s="25" t="s">
        <v>62</v>
      </c>
      <c r="H28" s="25" t="s">
        <v>64</v>
      </c>
      <c r="I28" s="25" t="s">
        <v>64</v>
      </c>
      <c r="J28" s="7" t="s">
        <v>252</v>
      </c>
      <c r="K28" s="25" t="s">
        <v>20</v>
      </c>
      <c r="L28" s="25" t="s">
        <v>20</v>
      </c>
      <c r="M28" s="25" t="s">
        <v>20</v>
      </c>
      <c r="N28" s="25" t="s">
        <v>70</v>
      </c>
      <c r="O28" s="25">
        <v>1</v>
      </c>
      <c r="P28" s="25">
        <v>1</v>
      </c>
      <c r="Q28" s="25">
        <v>20</v>
      </c>
      <c r="R28" s="25">
        <v>0</v>
      </c>
      <c r="S28" s="25">
        <v>5</v>
      </c>
      <c r="T28" s="25">
        <v>30</v>
      </c>
      <c r="U28" s="7" t="s">
        <v>248</v>
      </c>
      <c r="V28" s="7"/>
    </row>
    <row r="29" spans="1:42" s="25" customFormat="1" x14ac:dyDescent="0.25">
      <c r="A29" s="25">
        <v>26</v>
      </c>
      <c r="B29" s="25">
        <v>9</v>
      </c>
      <c r="C29" s="7">
        <v>27</v>
      </c>
      <c r="D29" s="25" t="s">
        <v>186</v>
      </c>
      <c r="E29" s="25" t="s">
        <v>179</v>
      </c>
      <c r="F29" s="25" t="s">
        <v>20</v>
      </c>
      <c r="G29" s="25" t="s">
        <v>62</v>
      </c>
      <c r="H29" s="25" t="s">
        <v>64</v>
      </c>
      <c r="I29" s="25" t="s">
        <v>64</v>
      </c>
      <c r="J29" s="7" t="s">
        <v>252</v>
      </c>
      <c r="K29" s="25" t="s">
        <v>20</v>
      </c>
      <c r="L29" s="25" t="s">
        <v>20</v>
      </c>
      <c r="M29" s="25" t="s">
        <v>20</v>
      </c>
      <c r="N29" s="25" t="s">
        <v>70</v>
      </c>
      <c r="O29" s="25">
        <v>1</v>
      </c>
      <c r="P29" s="7">
        <v>5</v>
      </c>
      <c r="Q29" s="7">
        <v>30</v>
      </c>
      <c r="R29" s="7">
        <v>0</v>
      </c>
      <c r="S29" s="7">
        <v>10</v>
      </c>
      <c r="T29" s="7">
        <v>50</v>
      </c>
      <c r="U29" s="7" t="s">
        <v>249</v>
      </c>
      <c r="V29" s="7"/>
    </row>
    <row r="30" spans="1:42" s="25" customFormat="1" x14ac:dyDescent="0.25">
      <c r="A30" s="25">
        <v>26</v>
      </c>
      <c r="B30" s="25">
        <v>9</v>
      </c>
      <c r="C30" s="7">
        <v>28</v>
      </c>
      <c r="D30" s="25" t="s">
        <v>186</v>
      </c>
      <c r="E30" s="25" t="s">
        <v>230</v>
      </c>
      <c r="F30" s="25" t="s">
        <v>73</v>
      </c>
      <c r="G30" s="25" t="s">
        <v>62</v>
      </c>
      <c r="H30" s="25" t="s">
        <v>64</v>
      </c>
      <c r="I30" s="25" t="s">
        <v>64</v>
      </c>
      <c r="J30" s="25" t="s">
        <v>201</v>
      </c>
      <c r="K30" s="25" t="s">
        <v>20</v>
      </c>
      <c r="L30" s="25" t="s">
        <v>20</v>
      </c>
      <c r="M30" s="25" t="s">
        <v>20</v>
      </c>
      <c r="N30" s="25" t="s">
        <v>70</v>
      </c>
      <c r="O30" s="25">
        <v>1</v>
      </c>
      <c r="P30" s="25">
        <v>0</v>
      </c>
      <c r="Q30" s="25">
        <v>2</v>
      </c>
      <c r="R30" s="25">
        <v>0</v>
      </c>
      <c r="S30" s="25">
        <v>10</v>
      </c>
      <c r="T30" s="25">
        <v>15</v>
      </c>
      <c r="U30" s="7" t="s">
        <v>248</v>
      </c>
      <c r="V30" s="7"/>
    </row>
    <row r="31" spans="1:42" s="25" customFormat="1" x14ac:dyDescent="0.25">
      <c r="A31" s="25">
        <v>28</v>
      </c>
      <c r="B31" s="25">
        <v>10</v>
      </c>
      <c r="C31" s="7">
        <v>29</v>
      </c>
      <c r="D31" s="25" t="s">
        <v>186</v>
      </c>
      <c r="E31" s="25" t="s">
        <v>311</v>
      </c>
      <c r="F31" s="25" t="s">
        <v>73</v>
      </c>
      <c r="G31" s="25" t="s">
        <v>76</v>
      </c>
      <c r="H31" s="25" t="s">
        <v>64</v>
      </c>
      <c r="I31" s="25" t="s">
        <v>64</v>
      </c>
      <c r="J31" s="25" t="s">
        <v>198</v>
      </c>
      <c r="K31" s="25" t="s">
        <v>20</v>
      </c>
      <c r="L31" s="25" t="s">
        <v>73</v>
      </c>
      <c r="M31" s="25" t="s">
        <v>20</v>
      </c>
      <c r="N31" s="25" t="s">
        <v>84</v>
      </c>
      <c r="O31" s="25">
        <v>1</v>
      </c>
      <c r="P31" s="25">
        <v>0</v>
      </c>
      <c r="Q31" s="25">
        <v>45</v>
      </c>
      <c r="R31" s="7">
        <v>0</v>
      </c>
      <c r="S31" s="25">
        <v>30</v>
      </c>
      <c r="T31" s="25">
        <v>75</v>
      </c>
      <c r="U31" s="7" t="s">
        <v>248</v>
      </c>
      <c r="V31" s="7"/>
    </row>
    <row r="32" spans="1:42" s="25" customFormat="1" x14ac:dyDescent="0.25">
      <c r="A32" s="25">
        <v>29</v>
      </c>
      <c r="B32" s="25">
        <v>11</v>
      </c>
      <c r="C32" s="7">
        <v>30</v>
      </c>
      <c r="D32" s="25" t="s">
        <v>186</v>
      </c>
      <c r="E32" s="25" t="s">
        <v>273</v>
      </c>
      <c r="F32" s="25" t="s">
        <v>20</v>
      </c>
      <c r="G32" s="25" t="s">
        <v>114</v>
      </c>
      <c r="H32" s="25" t="s">
        <v>31</v>
      </c>
      <c r="I32" s="25" t="s">
        <v>99</v>
      </c>
      <c r="J32" s="25" t="s">
        <v>140</v>
      </c>
      <c r="K32" s="25" t="s">
        <v>20</v>
      </c>
      <c r="L32" s="25" t="s">
        <v>73</v>
      </c>
      <c r="M32" s="25" t="s">
        <v>20</v>
      </c>
      <c r="N32" s="25" t="s">
        <v>84</v>
      </c>
      <c r="O32" s="25">
        <v>1</v>
      </c>
      <c r="P32" s="25">
        <v>0</v>
      </c>
      <c r="Q32" s="25">
        <v>20</v>
      </c>
      <c r="R32" s="25">
        <v>0</v>
      </c>
      <c r="S32" s="25">
        <v>0</v>
      </c>
      <c r="T32" s="25">
        <v>30</v>
      </c>
      <c r="U32" s="7" t="s">
        <v>248</v>
      </c>
      <c r="V32" s="7"/>
    </row>
    <row r="33" spans="1:22" s="25" customFormat="1" x14ac:dyDescent="0.25">
      <c r="A33" s="25">
        <v>26</v>
      </c>
      <c r="B33" s="25">
        <v>9</v>
      </c>
      <c r="C33" s="7">
        <v>31</v>
      </c>
      <c r="D33" s="25" t="s">
        <v>186</v>
      </c>
      <c r="E33" s="25" t="s">
        <v>229</v>
      </c>
      <c r="F33" s="25" t="s">
        <v>20</v>
      </c>
      <c r="G33" s="25" t="s">
        <v>62</v>
      </c>
      <c r="H33" s="25" t="s">
        <v>64</v>
      </c>
      <c r="I33" s="25" t="s">
        <v>64</v>
      </c>
      <c r="J33" s="25" t="s">
        <v>252</v>
      </c>
      <c r="K33" s="25" t="s">
        <v>20</v>
      </c>
      <c r="L33" s="25" t="s">
        <v>20</v>
      </c>
      <c r="M33" s="25" t="s">
        <v>20</v>
      </c>
      <c r="N33" s="25" t="s">
        <v>70</v>
      </c>
      <c r="O33" s="25">
        <v>0</v>
      </c>
      <c r="P33" s="25">
        <v>0</v>
      </c>
      <c r="Q33" s="25">
        <v>20</v>
      </c>
      <c r="R33" s="25">
        <v>0</v>
      </c>
      <c r="S33" s="25">
        <v>15</v>
      </c>
      <c r="T33" s="25">
        <v>50</v>
      </c>
      <c r="U33" s="7" t="s">
        <v>248</v>
      </c>
      <c r="V33" s="7"/>
    </row>
    <row r="34" spans="1:22" s="25" customFormat="1" x14ac:dyDescent="0.25">
      <c r="A34" s="25">
        <v>26</v>
      </c>
      <c r="B34" s="25">
        <v>9</v>
      </c>
      <c r="C34" s="7">
        <v>32</v>
      </c>
      <c r="D34" s="25" t="s">
        <v>186</v>
      </c>
      <c r="E34" s="25" t="s">
        <v>232</v>
      </c>
      <c r="F34" s="25" t="s">
        <v>20</v>
      </c>
      <c r="G34" s="25" t="s">
        <v>114</v>
      </c>
      <c r="H34" s="25" t="s">
        <v>31</v>
      </c>
      <c r="I34" s="25" t="s">
        <v>64</v>
      </c>
      <c r="J34" s="25" t="s">
        <v>131</v>
      </c>
      <c r="K34" s="25" t="s">
        <v>20</v>
      </c>
      <c r="L34" s="25" t="s">
        <v>20</v>
      </c>
      <c r="M34" s="25" t="s">
        <v>20</v>
      </c>
      <c r="N34" s="25" t="s">
        <v>70</v>
      </c>
      <c r="O34" s="25">
        <v>1</v>
      </c>
      <c r="P34" s="25">
        <v>1</v>
      </c>
      <c r="Q34" s="25">
        <v>40</v>
      </c>
      <c r="R34" s="25">
        <v>0</v>
      </c>
      <c r="S34" s="25">
        <v>15</v>
      </c>
      <c r="T34" s="25">
        <v>65</v>
      </c>
      <c r="U34" s="7" t="s">
        <v>248</v>
      </c>
      <c r="V34" s="7"/>
    </row>
    <row r="35" spans="1:22" s="25" customFormat="1" x14ac:dyDescent="0.25">
      <c r="A35" s="25">
        <v>26</v>
      </c>
      <c r="B35" s="25">
        <v>9</v>
      </c>
      <c r="C35" s="7">
        <v>33</v>
      </c>
      <c r="D35" s="25" t="s">
        <v>186</v>
      </c>
      <c r="E35" s="25" t="s">
        <v>231</v>
      </c>
      <c r="F35" s="25" t="s">
        <v>20</v>
      </c>
      <c r="G35" s="25" t="s">
        <v>62</v>
      </c>
      <c r="H35" s="25" t="s">
        <v>64</v>
      </c>
      <c r="I35" s="25" t="s">
        <v>64</v>
      </c>
      <c r="J35" s="25" t="s">
        <v>252</v>
      </c>
      <c r="K35" s="25" t="s">
        <v>20</v>
      </c>
      <c r="L35" s="25" t="s">
        <v>20</v>
      </c>
      <c r="M35" s="25" t="s">
        <v>20</v>
      </c>
      <c r="N35" s="25" t="s">
        <v>70</v>
      </c>
      <c r="O35" s="25">
        <v>1</v>
      </c>
      <c r="P35" s="25">
        <v>1</v>
      </c>
      <c r="Q35" s="25">
        <v>40</v>
      </c>
      <c r="R35" s="25">
        <v>0</v>
      </c>
      <c r="S35" s="25">
        <v>15</v>
      </c>
      <c r="T35" s="25">
        <v>65</v>
      </c>
      <c r="U35" s="7" t="s">
        <v>248</v>
      </c>
      <c r="V35" s="7"/>
    </row>
    <row r="36" spans="1:22" s="7" customFormat="1" x14ac:dyDescent="0.25">
      <c r="A36" s="25">
        <v>26</v>
      </c>
      <c r="B36" s="25">
        <v>9</v>
      </c>
      <c r="C36" s="7">
        <v>34</v>
      </c>
      <c r="D36" s="25" t="s">
        <v>186</v>
      </c>
      <c r="E36" s="25" t="s">
        <v>308</v>
      </c>
      <c r="F36" s="25" t="s">
        <v>20</v>
      </c>
      <c r="G36" s="25" t="s">
        <v>62</v>
      </c>
      <c r="H36" s="25" t="s">
        <v>64</v>
      </c>
      <c r="I36" s="25" t="s">
        <v>64</v>
      </c>
      <c r="J36" s="25" t="s">
        <v>252</v>
      </c>
      <c r="K36" s="25" t="s">
        <v>20</v>
      </c>
      <c r="L36" s="25" t="s">
        <v>20</v>
      </c>
      <c r="M36" s="25" t="s">
        <v>20</v>
      </c>
      <c r="N36" s="25" t="s">
        <v>70</v>
      </c>
      <c r="O36" s="25">
        <v>1</v>
      </c>
      <c r="P36" s="25">
        <v>1</v>
      </c>
      <c r="Q36" s="25">
        <v>55</v>
      </c>
      <c r="R36" s="25">
        <v>1</v>
      </c>
      <c r="S36" s="25">
        <v>15</v>
      </c>
      <c r="T36" s="25">
        <v>75</v>
      </c>
      <c r="U36" s="7" t="s">
        <v>248</v>
      </c>
    </row>
    <row r="37" spans="1:22" s="7" customFormat="1" x14ac:dyDescent="0.25">
      <c r="A37" s="25">
        <v>26</v>
      </c>
      <c r="B37" s="25">
        <v>9</v>
      </c>
      <c r="C37" s="7">
        <v>35</v>
      </c>
      <c r="D37" s="25" t="s">
        <v>186</v>
      </c>
      <c r="E37" s="25" t="s">
        <v>233</v>
      </c>
      <c r="F37" s="25" t="s">
        <v>73</v>
      </c>
      <c r="G37" s="25" t="s">
        <v>62</v>
      </c>
      <c r="H37" s="25" t="s">
        <v>64</v>
      </c>
      <c r="I37" s="25" t="s">
        <v>64</v>
      </c>
      <c r="J37" s="25" t="s">
        <v>252</v>
      </c>
      <c r="K37" s="25" t="s">
        <v>20</v>
      </c>
      <c r="L37" s="25" t="s">
        <v>20</v>
      </c>
      <c r="M37" s="25" t="s">
        <v>20</v>
      </c>
      <c r="N37" s="25" t="s">
        <v>70</v>
      </c>
      <c r="O37" s="25">
        <v>1</v>
      </c>
      <c r="P37" s="25">
        <v>1</v>
      </c>
      <c r="Q37" s="25">
        <v>5</v>
      </c>
      <c r="R37" s="25">
        <v>0</v>
      </c>
      <c r="S37" s="25">
        <v>15</v>
      </c>
      <c r="T37" s="25">
        <v>20</v>
      </c>
      <c r="U37" s="7" t="s">
        <v>248</v>
      </c>
    </row>
    <row r="38" spans="1:22" s="7" customFormat="1" x14ac:dyDescent="0.25">
      <c r="A38" s="25">
        <v>35</v>
      </c>
      <c r="B38" s="25">
        <v>10</v>
      </c>
      <c r="C38" s="7">
        <v>36</v>
      </c>
      <c r="D38" s="25" t="s">
        <v>186</v>
      </c>
      <c r="E38" s="25" t="s">
        <v>304</v>
      </c>
      <c r="F38" s="25" t="s">
        <v>20</v>
      </c>
      <c r="G38" s="25" t="s">
        <v>62</v>
      </c>
      <c r="H38" s="25" t="s">
        <v>64</v>
      </c>
      <c r="I38" s="25" t="s">
        <v>64</v>
      </c>
      <c r="J38" s="25" t="s">
        <v>252</v>
      </c>
      <c r="K38" s="25" t="s">
        <v>20</v>
      </c>
      <c r="L38" s="25" t="s">
        <v>20</v>
      </c>
      <c r="M38" s="25" t="s">
        <v>20</v>
      </c>
      <c r="N38" s="25" t="s">
        <v>70</v>
      </c>
      <c r="O38" s="25">
        <v>1</v>
      </c>
      <c r="P38" s="25">
        <v>1</v>
      </c>
      <c r="Q38" s="25">
        <v>30</v>
      </c>
      <c r="R38" s="25">
        <v>0</v>
      </c>
      <c r="S38" s="25">
        <v>15</v>
      </c>
      <c r="T38" s="25">
        <v>50</v>
      </c>
      <c r="U38" s="7" t="s">
        <v>248</v>
      </c>
    </row>
    <row r="39" spans="1:22" s="7" customFormat="1" x14ac:dyDescent="0.25">
      <c r="A39" s="25">
        <v>26</v>
      </c>
      <c r="B39" s="25">
        <v>9</v>
      </c>
      <c r="C39" s="7">
        <v>37</v>
      </c>
      <c r="D39" s="25" t="s">
        <v>186</v>
      </c>
      <c r="E39" s="25" t="s">
        <v>313</v>
      </c>
      <c r="F39" s="25" t="s">
        <v>73</v>
      </c>
      <c r="G39" s="25" t="s">
        <v>76</v>
      </c>
      <c r="H39" s="25" t="s">
        <v>64</v>
      </c>
      <c r="I39" s="25" t="s">
        <v>64</v>
      </c>
      <c r="J39" s="25" t="s">
        <v>198</v>
      </c>
      <c r="K39" s="7" t="s">
        <v>20</v>
      </c>
      <c r="L39" s="7" t="s">
        <v>73</v>
      </c>
      <c r="M39" s="7" t="s">
        <v>20</v>
      </c>
      <c r="N39" s="7" t="s">
        <v>84</v>
      </c>
      <c r="O39" s="7">
        <v>1</v>
      </c>
      <c r="P39" s="7">
        <v>0</v>
      </c>
      <c r="Q39" s="7">
        <v>50</v>
      </c>
      <c r="R39" s="7">
        <v>0</v>
      </c>
      <c r="S39" s="7">
        <v>35</v>
      </c>
      <c r="T39" s="7">
        <v>85</v>
      </c>
      <c r="U39" s="7" t="s">
        <v>248</v>
      </c>
    </row>
    <row r="40" spans="1:22" s="7" customFormat="1" x14ac:dyDescent="0.25">
      <c r="A40" s="25">
        <v>37</v>
      </c>
      <c r="B40" s="25">
        <v>10</v>
      </c>
      <c r="C40" s="7">
        <v>38</v>
      </c>
      <c r="D40" s="25" t="s">
        <v>186</v>
      </c>
      <c r="E40" s="25" t="s">
        <v>323</v>
      </c>
      <c r="F40" s="25" t="s">
        <v>20</v>
      </c>
      <c r="G40" s="25" t="s">
        <v>114</v>
      </c>
      <c r="H40" s="25" t="s">
        <v>128</v>
      </c>
      <c r="I40" s="25" t="s">
        <v>64</v>
      </c>
      <c r="J40" s="25" t="s">
        <v>140</v>
      </c>
      <c r="K40" s="25" t="s">
        <v>20</v>
      </c>
      <c r="L40" s="25" t="s">
        <v>20</v>
      </c>
      <c r="M40" s="25" t="s">
        <v>20</v>
      </c>
      <c r="N40" s="25" t="s">
        <v>70</v>
      </c>
      <c r="O40" s="25">
        <v>1</v>
      </c>
      <c r="P40" s="25">
        <v>1</v>
      </c>
      <c r="Q40" s="25">
        <v>15</v>
      </c>
      <c r="R40" s="25">
        <v>0</v>
      </c>
      <c r="S40" s="25">
        <v>15</v>
      </c>
      <c r="T40" s="25">
        <v>35</v>
      </c>
      <c r="U40" s="7" t="s">
        <v>248</v>
      </c>
    </row>
    <row r="41" spans="1:22" x14ac:dyDescent="0.25">
      <c r="A41" s="25">
        <v>26</v>
      </c>
      <c r="B41" s="25">
        <v>9</v>
      </c>
      <c r="C41" s="7">
        <v>39</v>
      </c>
      <c r="D41" s="25" t="s">
        <v>186</v>
      </c>
      <c r="E41" s="25" t="s">
        <v>234</v>
      </c>
      <c r="F41" s="25" t="s">
        <v>73</v>
      </c>
      <c r="G41" s="25" t="s">
        <v>62</v>
      </c>
      <c r="H41" s="25" t="s">
        <v>64</v>
      </c>
      <c r="I41" s="25" t="s">
        <v>64</v>
      </c>
      <c r="J41" s="25" t="s">
        <v>252</v>
      </c>
      <c r="K41" s="25" t="s">
        <v>20</v>
      </c>
      <c r="L41" s="25" t="s">
        <v>20</v>
      </c>
      <c r="M41" s="25" t="s">
        <v>20</v>
      </c>
      <c r="N41" s="25" t="s">
        <v>70</v>
      </c>
      <c r="O41" s="25">
        <v>1</v>
      </c>
      <c r="P41" s="25">
        <v>1</v>
      </c>
      <c r="Q41" s="25">
        <v>80</v>
      </c>
      <c r="R41" s="25">
        <v>0</v>
      </c>
      <c r="S41" s="25">
        <v>5</v>
      </c>
      <c r="T41" s="25">
        <v>100</v>
      </c>
      <c r="U41" s="7" t="s">
        <v>248</v>
      </c>
      <c r="V41" s="7"/>
    </row>
    <row r="42" spans="1:22" x14ac:dyDescent="0.25">
      <c r="A42" s="25">
        <v>39</v>
      </c>
      <c r="B42" s="25">
        <v>10</v>
      </c>
      <c r="C42" s="7">
        <v>40</v>
      </c>
      <c r="D42" s="25" t="s">
        <v>186</v>
      </c>
      <c r="E42" s="25" t="s">
        <v>235</v>
      </c>
      <c r="F42" s="25" t="s">
        <v>73</v>
      </c>
      <c r="G42" s="25" t="s">
        <v>62</v>
      </c>
      <c r="H42" s="25" t="s">
        <v>64</v>
      </c>
      <c r="I42" s="25" t="s">
        <v>64</v>
      </c>
      <c r="J42" s="25" t="s">
        <v>252</v>
      </c>
      <c r="K42" s="25" t="s">
        <v>20</v>
      </c>
      <c r="L42" s="25" t="s">
        <v>20</v>
      </c>
      <c r="M42" s="25" t="s">
        <v>20</v>
      </c>
      <c r="N42" s="25" t="s">
        <v>70</v>
      </c>
      <c r="O42" s="25">
        <v>1</v>
      </c>
      <c r="P42" s="25">
        <v>1</v>
      </c>
      <c r="Q42" s="25">
        <v>40</v>
      </c>
      <c r="R42" s="25">
        <v>0</v>
      </c>
      <c r="S42" s="25">
        <v>5</v>
      </c>
      <c r="T42" s="25">
        <v>50</v>
      </c>
      <c r="U42" s="7" t="s">
        <v>248</v>
      </c>
      <c r="V42" s="7"/>
    </row>
    <row r="43" spans="1:22" x14ac:dyDescent="0.25">
      <c r="A43" s="25">
        <v>39</v>
      </c>
      <c r="B43" s="25">
        <v>10</v>
      </c>
      <c r="C43" s="7">
        <v>41</v>
      </c>
      <c r="D43" s="25" t="s">
        <v>186</v>
      </c>
      <c r="E43" s="25" t="s">
        <v>236</v>
      </c>
      <c r="F43" s="25" t="s">
        <v>20</v>
      </c>
      <c r="G43" s="25" t="s">
        <v>114</v>
      </c>
      <c r="H43" s="25" t="s">
        <v>31</v>
      </c>
      <c r="I43" s="25" t="s">
        <v>64</v>
      </c>
      <c r="J43" s="25" t="s">
        <v>125</v>
      </c>
      <c r="K43" s="25" t="s">
        <v>20</v>
      </c>
      <c r="L43" s="25" t="s">
        <v>20</v>
      </c>
      <c r="M43" s="25" t="s">
        <v>20</v>
      </c>
      <c r="N43" s="25" t="s">
        <v>70</v>
      </c>
      <c r="O43" s="25">
        <v>1</v>
      </c>
      <c r="P43" s="25">
        <v>1</v>
      </c>
      <c r="Q43" s="25">
        <v>1</v>
      </c>
      <c r="R43" s="25">
        <v>0</v>
      </c>
      <c r="S43" s="25">
        <v>15</v>
      </c>
      <c r="T43" s="25">
        <v>30</v>
      </c>
      <c r="U43" s="7" t="s">
        <v>248</v>
      </c>
      <c r="V43" s="7"/>
    </row>
    <row r="44" spans="1:22" x14ac:dyDescent="0.25">
      <c r="A44" s="25">
        <v>39</v>
      </c>
      <c r="B44" s="25">
        <v>10</v>
      </c>
      <c r="C44" s="7">
        <v>42</v>
      </c>
      <c r="D44" s="25" t="s">
        <v>186</v>
      </c>
      <c r="E44" s="25" t="s">
        <v>237</v>
      </c>
      <c r="F44" s="25" t="s">
        <v>20</v>
      </c>
      <c r="G44" s="25" t="s">
        <v>62</v>
      </c>
      <c r="H44" s="25" t="s">
        <v>64</v>
      </c>
      <c r="I44" s="25" t="s">
        <v>64</v>
      </c>
      <c r="J44" s="25" t="s">
        <v>252</v>
      </c>
      <c r="K44" s="25" t="s">
        <v>20</v>
      </c>
      <c r="L44" s="25" t="s">
        <v>20</v>
      </c>
      <c r="M44" s="25" t="s">
        <v>20</v>
      </c>
      <c r="N44" s="25" t="s">
        <v>70</v>
      </c>
      <c r="O44" s="25">
        <v>1</v>
      </c>
      <c r="P44" s="25">
        <v>1</v>
      </c>
      <c r="Q44" s="25">
        <v>10</v>
      </c>
      <c r="R44" s="25">
        <v>0</v>
      </c>
      <c r="S44" s="25">
        <v>10</v>
      </c>
      <c r="T44" s="25">
        <v>30</v>
      </c>
      <c r="U44" s="7" t="s">
        <v>248</v>
      </c>
      <c r="V44" s="7"/>
    </row>
    <row r="45" spans="1:22" x14ac:dyDescent="0.25">
      <c r="A45" s="25">
        <v>39</v>
      </c>
      <c r="B45" s="25">
        <v>10</v>
      </c>
      <c r="C45" s="7">
        <v>43</v>
      </c>
      <c r="D45" s="25" t="s">
        <v>186</v>
      </c>
      <c r="E45" s="25" t="s">
        <v>238</v>
      </c>
      <c r="F45" s="25" t="s">
        <v>20</v>
      </c>
      <c r="G45" s="25" t="s">
        <v>62</v>
      </c>
      <c r="H45" s="25" t="s">
        <v>64</v>
      </c>
      <c r="I45" s="25" t="s">
        <v>64</v>
      </c>
      <c r="J45" s="25" t="s">
        <v>252</v>
      </c>
      <c r="K45" s="25" t="s">
        <v>20</v>
      </c>
      <c r="L45" s="25" t="s">
        <v>20</v>
      </c>
      <c r="M45" s="25" t="s">
        <v>20</v>
      </c>
      <c r="N45" s="25" t="s">
        <v>70</v>
      </c>
      <c r="O45" s="25">
        <v>1</v>
      </c>
      <c r="P45" s="25">
        <v>0</v>
      </c>
      <c r="Q45" s="25">
        <v>20</v>
      </c>
      <c r="R45" s="25">
        <v>0</v>
      </c>
      <c r="S45" s="25">
        <v>5</v>
      </c>
      <c r="T45" s="25">
        <v>30</v>
      </c>
      <c r="U45" s="7" t="s">
        <v>248</v>
      </c>
      <c r="V45" s="7"/>
    </row>
    <row r="46" spans="1:22" x14ac:dyDescent="0.25">
      <c r="A46" s="25">
        <v>24</v>
      </c>
      <c r="B46" s="25">
        <v>7</v>
      </c>
      <c r="C46" s="7">
        <v>44</v>
      </c>
      <c r="D46" s="7" t="s">
        <v>320</v>
      </c>
      <c r="E46" s="25" t="s">
        <v>326</v>
      </c>
      <c r="F46" s="25" t="s">
        <v>73</v>
      </c>
      <c r="G46" s="25" t="s">
        <v>17</v>
      </c>
      <c r="H46" s="25" t="s">
        <v>82</v>
      </c>
      <c r="I46" s="25" t="s">
        <v>82</v>
      </c>
      <c r="J46" s="25" t="s">
        <v>3</v>
      </c>
      <c r="K46" s="31" t="s">
        <v>20</v>
      </c>
      <c r="L46" s="31" t="s">
        <v>20</v>
      </c>
      <c r="M46" s="31" t="s">
        <v>20</v>
      </c>
      <c r="N46" s="31" t="s">
        <v>70</v>
      </c>
      <c r="O46" s="31">
        <v>1</v>
      </c>
      <c r="P46" s="31">
        <v>0</v>
      </c>
      <c r="Q46" s="31">
        <v>0</v>
      </c>
      <c r="R46" s="31">
        <v>0</v>
      </c>
      <c r="S46" s="31">
        <v>0</v>
      </c>
      <c r="T46" s="31">
        <v>0</v>
      </c>
      <c r="U46" s="31" t="s">
        <v>247</v>
      </c>
      <c r="V46" s="7"/>
    </row>
    <row r="47" spans="1:22" s="31" customFormat="1" x14ac:dyDescent="0.25">
      <c r="A47" s="25">
        <v>44</v>
      </c>
      <c r="B47" s="25">
        <v>8</v>
      </c>
      <c r="C47" s="7">
        <v>45</v>
      </c>
      <c r="D47" s="7" t="s">
        <v>320</v>
      </c>
      <c r="E47" s="25" t="s">
        <v>318</v>
      </c>
      <c r="F47" s="25" t="s">
        <v>73</v>
      </c>
      <c r="G47" s="25" t="s">
        <v>62</v>
      </c>
      <c r="H47" s="25" t="s">
        <v>64</v>
      </c>
      <c r="I47" s="25" t="s">
        <v>64</v>
      </c>
      <c r="J47" s="25" t="s">
        <v>201</v>
      </c>
      <c r="K47" s="25" t="s">
        <v>20</v>
      </c>
      <c r="L47" s="25" t="s">
        <v>20</v>
      </c>
      <c r="M47" s="25" t="s">
        <v>20</v>
      </c>
      <c r="N47" s="25" t="s">
        <v>70</v>
      </c>
      <c r="O47" s="25">
        <v>1</v>
      </c>
      <c r="P47" s="25">
        <v>0</v>
      </c>
      <c r="Q47" s="25">
        <v>5</v>
      </c>
      <c r="R47" s="25">
        <v>0</v>
      </c>
      <c r="S47" s="25">
        <v>15</v>
      </c>
      <c r="T47" s="25">
        <v>20</v>
      </c>
      <c r="U47" s="7" t="s">
        <v>248</v>
      </c>
      <c r="V47" s="7"/>
    </row>
    <row r="48" spans="1:22" s="31" customFormat="1" x14ac:dyDescent="0.25">
      <c r="A48" s="25">
        <v>45</v>
      </c>
      <c r="B48" s="25">
        <v>9</v>
      </c>
      <c r="C48" s="7">
        <v>46</v>
      </c>
      <c r="D48" s="7" t="s">
        <v>320</v>
      </c>
      <c r="E48" s="25" t="s">
        <v>319</v>
      </c>
      <c r="F48" s="25" t="s">
        <v>73</v>
      </c>
      <c r="G48" s="25" t="s">
        <v>76</v>
      </c>
      <c r="H48" s="25" t="s">
        <v>64</v>
      </c>
      <c r="I48" s="25" t="s">
        <v>154</v>
      </c>
      <c r="J48" s="25" t="s">
        <v>199</v>
      </c>
      <c r="K48" s="7" t="s">
        <v>20</v>
      </c>
      <c r="L48" s="7" t="s">
        <v>73</v>
      </c>
      <c r="M48" s="7" t="s">
        <v>20</v>
      </c>
      <c r="N48" s="7" t="s">
        <v>84</v>
      </c>
      <c r="O48" s="7">
        <v>1</v>
      </c>
      <c r="P48" s="7">
        <v>0</v>
      </c>
      <c r="Q48" s="7">
        <v>55</v>
      </c>
      <c r="R48" s="7">
        <v>0</v>
      </c>
      <c r="S48" s="7">
        <v>40</v>
      </c>
      <c r="T48" s="7">
        <v>95</v>
      </c>
      <c r="U48" s="7" t="s">
        <v>248</v>
      </c>
      <c r="V48" s="7"/>
    </row>
    <row r="49" spans="1:23" s="31" customFormat="1" x14ac:dyDescent="0.25">
      <c r="A49" s="25">
        <v>46</v>
      </c>
      <c r="B49" s="25">
        <v>10</v>
      </c>
      <c r="C49" s="7">
        <v>47</v>
      </c>
      <c r="D49" s="7" t="s">
        <v>320</v>
      </c>
      <c r="E49" s="25" t="s">
        <v>329</v>
      </c>
      <c r="F49" s="25" t="s">
        <v>73</v>
      </c>
      <c r="G49" s="25" t="s">
        <v>97</v>
      </c>
      <c r="H49" s="25" t="s">
        <v>99</v>
      </c>
      <c r="I49" s="25" t="s">
        <v>99</v>
      </c>
      <c r="J49" s="25" t="s">
        <v>140</v>
      </c>
      <c r="K49" s="25" t="s">
        <v>20</v>
      </c>
      <c r="L49" s="25" t="s">
        <v>20</v>
      </c>
      <c r="M49" s="25" t="s">
        <v>20</v>
      </c>
      <c r="N49" s="25" t="s">
        <v>70</v>
      </c>
      <c r="O49" s="25">
        <v>1</v>
      </c>
      <c r="P49" s="25">
        <v>0</v>
      </c>
      <c r="Q49" s="25">
        <v>1</v>
      </c>
      <c r="R49" s="25">
        <v>0</v>
      </c>
      <c r="S49" s="25">
        <v>0</v>
      </c>
      <c r="T49" s="25">
        <v>1</v>
      </c>
      <c r="U49" s="7" t="s">
        <v>248</v>
      </c>
      <c r="V49" s="7"/>
    </row>
    <row r="50" spans="1:23" s="31" customFormat="1" x14ac:dyDescent="0.25">
      <c r="A50" s="25">
        <v>47</v>
      </c>
      <c r="B50" s="25">
        <v>11</v>
      </c>
      <c r="C50" s="7">
        <v>48</v>
      </c>
      <c r="D50" s="7" t="s">
        <v>320</v>
      </c>
      <c r="E50" s="25" t="s">
        <v>324</v>
      </c>
      <c r="F50" s="25" t="s">
        <v>20</v>
      </c>
      <c r="G50" s="25" t="s">
        <v>97</v>
      </c>
      <c r="H50" s="25" t="s">
        <v>99</v>
      </c>
      <c r="I50" s="25" t="s">
        <v>99</v>
      </c>
      <c r="J50" s="25" t="s">
        <v>140</v>
      </c>
      <c r="K50" s="25" t="s">
        <v>20</v>
      </c>
      <c r="L50" s="25" t="s">
        <v>20</v>
      </c>
      <c r="M50" s="25" t="s">
        <v>20</v>
      </c>
      <c r="N50" s="25" t="s">
        <v>70</v>
      </c>
      <c r="O50" s="25">
        <v>1</v>
      </c>
      <c r="P50" s="25">
        <v>0</v>
      </c>
      <c r="Q50" s="25">
        <v>50</v>
      </c>
      <c r="R50" s="25">
        <v>0</v>
      </c>
      <c r="S50" s="25">
        <v>0</v>
      </c>
      <c r="T50" s="25">
        <v>50</v>
      </c>
      <c r="U50" s="7" t="s">
        <v>248</v>
      </c>
      <c r="V50" s="7"/>
    </row>
    <row r="51" spans="1:23" s="31" customFormat="1" x14ac:dyDescent="0.25">
      <c r="A51" s="31">
        <v>24</v>
      </c>
      <c r="B51" s="31">
        <v>7</v>
      </c>
      <c r="C51" s="7">
        <v>49</v>
      </c>
      <c r="D51" s="31" t="s">
        <v>188</v>
      </c>
      <c r="E51" s="31" t="s">
        <v>189</v>
      </c>
      <c r="F51" s="31" t="s">
        <v>21</v>
      </c>
      <c r="G51" s="31" t="s">
        <v>17</v>
      </c>
      <c r="H51" s="31" t="s">
        <v>82</v>
      </c>
      <c r="I51" s="31" t="s">
        <v>82</v>
      </c>
      <c r="J51" s="31" t="s">
        <v>3</v>
      </c>
      <c r="K51" s="31" t="s">
        <v>20</v>
      </c>
      <c r="L51" s="31" t="s">
        <v>20</v>
      </c>
      <c r="M51" s="31" t="s">
        <v>20</v>
      </c>
      <c r="N51" s="31" t="s">
        <v>21</v>
      </c>
      <c r="O51" s="31">
        <v>1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 t="s">
        <v>247</v>
      </c>
    </row>
    <row r="52" spans="1:23" s="31" customFormat="1" x14ac:dyDescent="0.25">
      <c r="A52" s="31">
        <v>49</v>
      </c>
      <c r="B52" s="31">
        <v>8</v>
      </c>
      <c r="C52" s="7">
        <v>50</v>
      </c>
      <c r="D52" s="31" t="s">
        <v>188</v>
      </c>
      <c r="E52" s="31" t="s">
        <v>192</v>
      </c>
      <c r="F52" s="31" t="s">
        <v>73</v>
      </c>
      <c r="G52" s="31" t="s">
        <v>62</v>
      </c>
      <c r="H52" s="31" t="s">
        <v>64</v>
      </c>
      <c r="I52" s="31" t="s">
        <v>64</v>
      </c>
      <c r="J52" s="32" t="s">
        <v>252</v>
      </c>
      <c r="K52" s="31" t="s">
        <v>20</v>
      </c>
      <c r="L52" s="31" t="s">
        <v>20</v>
      </c>
      <c r="M52" s="31" t="s">
        <v>20</v>
      </c>
      <c r="N52" s="31" t="s">
        <v>84</v>
      </c>
      <c r="O52" s="31">
        <v>1</v>
      </c>
      <c r="P52" s="31">
        <v>0</v>
      </c>
      <c r="Q52" s="31">
        <v>500</v>
      </c>
      <c r="R52" s="31">
        <v>0</v>
      </c>
      <c r="S52" s="31">
        <v>5</v>
      </c>
      <c r="T52" s="31">
        <v>500</v>
      </c>
      <c r="U52" s="31" t="s">
        <v>247</v>
      </c>
    </row>
    <row r="53" spans="1:23" s="31" customFormat="1" x14ac:dyDescent="0.25">
      <c r="A53" s="31">
        <v>50</v>
      </c>
      <c r="B53" s="31">
        <v>9</v>
      </c>
      <c r="C53" s="7">
        <v>51</v>
      </c>
      <c r="D53" s="31" t="s">
        <v>188</v>
      </c>
      <c r="E53" s="31" t="s">
        <v>172</v>
      </c>
      <c r="F53" s="31" t="s">
        <v>20</v>
      </c>
      <c r="G53" s="31" t="s">
        <v>62</v>
      </c>
      <c r="H53" s="31" t="s">
        <v>64</v>
      </c>
      <c r="I53" s="31" t="s">
        <v>64</v>
      </c>
      <c r="J53" s="32" t="s">
        <v>252</v>
      </c>
      <c r="K53" s="31" t="s">
        <v>20</v>
      </c>
      <c r="L53" s="31" t="s">
        <v>20</v>
      </c>
      <c r="M53" s="31" t="s">
        <v>20</v>
      </c>
      <c r="N53" s="31" t="s">
        <v>70</v>
      </c>
      <c r="O53" s="31">
        <v>1</v>
      </c>
      <c r="P53" s="31">
        <v>1</v>
      </c>
      <c r="Q53" s="31">
        <v>5</v>
      </c>
      <c r="R53" s="31">
        <v>0</v>
      </c>
      <c r="S53" s="31">
        <v>5</v>
      </c>
      <c r="T53" s="31">
        <v>30</v>
      </c>
      <c r="U53" s="31" t="s">
        <v>247</v>
      </c>
    </row>
    <row r="54" spans="1:23" s="7" customFormat="1" x14ac:dyDescent="0.25">
      <c r="A54" s="31">
        <v>50</v>
      </c>
      <c r="B54" s="31">
        <v>9</v>
      </c>
      <c r="C54" s="7">
        <v>52</v>
      </c>
      <c r="D54" s="31" t="s">
        <v>188</v>
      </c>
      <c r="E54" s="31" t="s">
        <v>231</v>
      </c>
      <c r="F54" s="31" t="s">
        <v>20</v>
      </c>
      <c r="G54" s="31" t="s">
        <v>62</v>
      </c>
      <c r="H54" s="31" t="s">
        <v>64</v>
      </c>
      <c r="I54" s="31" t="s">
        <v>64</v>
      </c>
      <c r="J54" s="32" t="s">
        <v>252</v>
      </c>
      <c r="K54" s="31" t="s">
        <v>20</v>
      </c>
      <c r="L54" s="31" t="s">
        <v>20</v>
      </c>
      <c r="M54" s="31" t="s">
        <v>20</v>
      </c>
      <c r="N54" s="31" t="s">
        <v>70</v>
      </c>
      <c r="O54" s="31">
        <v>1</v>
      </c>
      <c r="P54" s="31">
        <v>1</v>
      </c>
      <c r="Q54" s="31">
        <v>40</v>
      </c>
      <c r="R54" s="31">
        <v>0</v>
      </c>
      <c r="S54" s="31">
        <v>15</v>
      </c>
      <c r="T54" s="31">
        <v>65</v>
      </c>
      <c r="U54" s="31" t="s">
        <v>247</v>
      </c>
      <c r="V54" s="31"/>
    </row>
    <row r="55" spans="1:23" x14ac:dyDescent="0.25">
      <c r="A55" s="31">
        <v>50</v>
      </c>
      <c r="B55" s="31">
        <v>9</v>
      </c>
      <c r="C55" s="7">
        <v>53</v>
      </c>
      <c r="D55" s="31" t="s">
        <v>188</v>
      </c>
      <c r="E55" s="31" t="s">
        <v>179</v>
      </c>
      <c r="F55" s="31" t="s">
        <v>20</v>
      </c>
      <c r="G55" s="31" t="s">
        <v>62</v>
      </c>
      <c r="H55" s="31" t="s">
        <v>64</v>
      </c>
      <c r="I55" s="31" t="s">
        <v>64</v>
      </c>
      <c r="J55" s="32" t="s">
        <v>252</v>
      </c>
      <c r="K55" s="31" t="s">
        <v>20</v>
      </c>
      <c r="L55" s="31" t="s">
        <v>20</v>
      </c>
      <c r="M55" s="31" t="s">
        <v>20</v>
      </c>
      <c r="N55" s="31" t="s">
        <v>70</v>
      </c>
      <c r="O55" s="31">
        <v>1</v>
      </c>
      <c r="P55" s="31">
        <v>5</v>
      </c>
      <c r="Q55" s="31">
        <v>30</v>
      </c>
      <c r="R55" s="31">
        <v>0</v>
      </c>
      <c r="S55" s="31">
        <v>10</v>
      </c>
      <c r="T55" s="31">
        <v>50</v>
      </c>
      <c r="U55" s="7" t="s">
        <v>249</v>
      </c>
      <c r="V55" s="31"/>
      <c r="W55">
        <v>25</v>
      </c>
    </row>
    <row r="56" spans="1:23" x14ac:dyDescent="0.25">
      <c r="A56" s="31">
        <v>50</v>
      </c>
      <c r="B56" s="31">
        <v>9</v>
      </c>
      <c r="C56" s="7">
        <v>54</v>
      </c>
      <c r="D56" s="31" t="s">
        <v>188</v>
      </c>
      <c r="E56" s="31" t="s">
        <v>194</v>
      </c>
      <c r="F56" s="31" t="s">
        <v>73</v>
      </c>
      <c r="G56" s="31" t="s">
        <v>62</v>
      </c>
      <c r="H56" s="31" t="s">
        <v>64</v>
      </c>
      <c r="I56" s="31" t="s">
        <v>64</v>
      </c>
      <c r="J56" s="32" t="s">
        <v>252</v>
      </c>
      <c r="K56" s="31" t="s">
        <v>20</v>
      </c>
      <c r="L56" s="31" t="s">
        <v>20</v>
      </c>
      <c r="M56" s="31" t="s">
        <v>20</v>
      </c>
      <c r="N56" s="31" t="s">
        <v>70</v>
      </c>
      <c r="O56" s="31">
        <v>1</v>
      </c>
      <c r="P56" s="31">
        <v>1</v>
      </c>
      <c r="Q56" s="31">
        <v>10</v>
      </c>
      <c r="R56" s="31">
        <v>0</v>
      </c>
      <c r="S56" s="31">
        <v>15</v>
      </c>
      <c r="T56" s="31">
        <v>50</v>
      </c>
      <c r="U56" s="31" t="s">
        <v>247</v>
      </c>
      <c r="V56" s="31"/>
    </row>
    <row r="57" spans="1:23" x14ac:dyDescent="0.25">
      <c r="A57" s="31">
        <v>54</v>
      </c>
      <c r="B57" s="31">
        <v>10</v>
      </c>
      <c r="C57" s="7">
        <v>55</v>
      </c>
      <c r="D57" s="31" t="s">
        <v>188</v>
      </c>
      <c r="E57" s="31" t="s">
        <v>321</v>
      </c>
      <c r="F57" s="31" t="s">
        <v>20</v>
      </c>
      <c r="G57" s="31" t="s">
        <v>62</v>
      </c>
      <c r="H57" s="31" t="s">
        <v>31</v>
      </c>
      <c r="I57" s="31" t="s">
        <v>64</v>
      </c>
      <c r="J57" s="31" t="s">
        <v>125</v>
      </c>
      <c r="K57" s="31" t="s">
        <v>20</v>
      </c>
      <c r="L57" s="31" t="s">
        <v>20</v>
      </c>
      <c r="M57" s="31" t="s">
        <v>20</v>
      </c>
      <c r="N57" s="31" t="s">
        <v>70</v>
      </c>
      <c r="O57" s="31">
        <v>1</v>
      </c>
      <c r="P57" s="31">
        <v>0</v>
      </c>
      <c r="Q57" s="31">
        <v>20</v>
      </c>
      <c r="R57" s="31">
        <v>0</v>
      </c>
      <c r="S57" s="31">
        <v>15</v>
      </c>
      <c r="T57" s="31">
        <v>50</v>
      </c>
      <c r="U57" s="31" t="s">
        <v>247</v>
      </c>
      <c r="V57" s="31"/>
    </row>
    <row r="58" spans="1:23" s="7" customFormat="1" x14ac:dyDescent="0.25">
      <c r="A58" s="31">
        <v>50</v>
      </c>
      <c r="B58" s="31">
        <v>9</v>
      </c>
      <c r="C58" s="7">
        <v>56</v>
      </c>
      <c r="D58" s="31" t="s">
        <v>188</v>
      </c>
      <c r="E58" s="31" t="s">
        <v>330</v>
      </c>
      <c r="F58" s="31" t="s">
        <v>73</v>
      </c>
      <c r="G58" s="31" t="s">
        <v>62</v>
      </c>
      <c r="H58" s="31" t="s">
        <v>64</v>
      </c>
      <c r="I58" s="31" t="s">
        <v>64</v>
      </c>
      <c r="J58" s="31" t="s">
        <v>252</v>
      </c>
      <c r="K58" s="31" t="s">
        <v>20</v>
      </c>
      <c r="L58" s="31" t="s">
        <v>20</v>
      </c>
      <c r="M58" s="31" t="s">
        <v>20</v>
      </c>
      <c r="N58" s="31" t="s">
        <v>70</v>
      </c>
      <c r="O58" s="31">
        <v>1</v>
      </c>
      <c r="P58" s="31">
        <v>0</v>
      </c>
      <c r="Q58" s="31">
        <v>20</v>
      </c>
      <c r="R58" s="31">
        <v>0</v>
      </c>
      <c r="S58" s="31">
        <v>15</v>
      </c>
      <c r="T58" s="31">
        <v>50</v>
      </c>
      <c r="U58" s="31" t="s">
        <v>247</v>
      </c>
      <c r="V58" s="31"/>
    </row>
    <row r="59" spans="1:23" s="31" customFormat="1" x14ac:dyDescent="0.25">
      <c r="A59" s="31">
        <v>56</v>
      </c>
      <c r="B59" s="31">
        <v>10</v>
      </c>
      <c r="C59" s="7">
        <v>57</v>
      </c>
      <c r="D59" s="31" t="s">
        <v>188</v>
      </c>
      <c r="E59" s="31" t="s">
        <v>316</v>
      </c>
      <c r="F59" s="31" t="s">
        <v>73</v>
      </c>
      <c r="G59" s="31" t="s">
        <v>76</v>
      </c>
      <c r="H59" s="31" t="s">
        <v>64</v>
      </c>
      <c r="I59" s="31" t="s">
        <v>99</v>
      </c>
      <c r="J59" s="31" t="s">
        <v>199</v>
      </c>
      <c r="K59" s="31" t="s">
        <v>20</v>
      </c>
      <c r="L59" s="7" t="s">
        <v>73</v>
      </c>
      <c r="M59" s="7" t="s">
        <v>20</v>
      </c>
      <c r="N59" s="7" t="s">
        <v>84</v>
      </c>
      <c r="O59" s="7">
        <v>1</v>
      </c>
      <c r="P59" s="7">
        <v>0</v>
      </c>
      <c r="Q59" s="7">
        <v>60</v>
      </c>
      <c r="R59" s="7">
        <v>0</v>
      </c>
      <c r="S59" s="7">
        <v>45</v>
      </c>
      <c r="T59" s="7">
        <v>105</v>
      </c>
      <c r="U59" s="7" t="s">
        <v>247</v>
      </c>
    </row>
    <row r="60" spans="1:23" s="7" customFormat="1" x14ac:dyDescent="0.25">
      <c r="A60" s="31">
        <v>57</v>
      </c>
      <c r="B60" s="31">
        <v>11</v>
      </c>
      <c r="C60" s="7">
        <v>58</v>
      </c>
      <c r="D60" s="31" t="s">
        <v>188</v>
      </c>
      <c r="E60" s="31" t="s">
        <v>329</v>
      </c>
      <c r="F60" s="25" t="s">
        <v>73</v>
      </c>
      <c r="G60" s="25" t="s">
        <v>97</v>
      </c>
      <c r="H60" s="25" t="s">
        <v>99</v>
      </c>
      <c r="I60" s="25" t="s">
        <v>99</v>
      </c>
      <c r="J60" s="25" t="s">
        <v>140</v>
      </c>
      <c r="K60" s="25" t="s">
        <v>20</v>
      </c>
      <c r="L60" s="25" t="s">
        <v>20</v>
      </c>
      <c r="M60" s="25" t="s">
        <v>20</v>
      </c>
      <c r="N60" s="25" t="s">
        <v>70</v>
      </c>
      <c r="O60" s="25">
        <v>1</v>
      </c>
      <c r="P60" s="25">
        <v>0</v>
      </c>
      <c r="Q60" s="25">
        <v>1</v>
      </c>
      <c r="R60" s="25">
        <v>0</v>
      </c>
      <c r="S60" s="25">
        <v>0</v>
      </c>
      <c r="T60" s="25">
        <v>1</v>
      </c>
      <c r="U60" s="7" t="s">
        <v>247</v>
      </c>
      <c r="V60" s="31"/>
    </row>
    <row r="61" spans="1:23" x14ac:dyDescent="0.25">
      <c r="A61" s="31">
        <v>58</v>
      </c>
      <c r="B61" s="31">
        <v>12</v>
      </c>
      <c r="C61" s="7">
        <v>59</v>
      </c>
      <c r="D61" s="31" t="s">
        <v>188</v>
      </c>
      <c r="E61" s="31" t="s">
        <v>315</v>
      </c>
      <c r="F61" s="31" t="s">
        <v>20</v>
      </c>
      <c r="G61" s="31" t="s">
        <v>97</v>
      </c>
      <c r="H61" s="31" t="s">
        <v>99</v>
      </c>
      <c r="I61" s="31" t="s">
        <v>99</v>
      </c>
      <c r="J61" s="31" t="s">
        <v>140</v>
      </c>
      <c r="K61" s="31" t="s">
        <v>20</v>
      </c>
      <c r="L61" s="31" t="s">
        <v>20</v>
      </c>
      <c r="M61" s="31" t="s">
        <v>20</v>
      </c>
      <c r="N61" s="31" t="s">
        <v>84</v>
      </c>
      <c r="O61" s="31">
        <v>1</v>
      </c>
      <c r="P61" s="31">
        <v>0</v>
      </c>
      <c r="Q61" s="31">
        <v>1029</v>
      </c>
      <c r="R61" s="31">
        <v>0</v>
      </c>
      <c r="S61" s="31">
        <v>0</v>
      </c>
      <c r="T61" s="31">
        <v>1029</v>
      </c>
      <c r="U61" s="31" t="s">
        <v>247</v>
      </c>
      <c r="V61" s="31"/>
    </row>
    <row r="62" spans="1:23" x14ac:dyDescent="0.25">
      <c r="A62" s="31">
        <v>50</v>
      </c>
      <c r="B62" s="31">
        <v>9</v>
      </c>
      <c r="C62" s="7">
        <v>60</v>
      </c>
      <c r="D62" s="31" t="s">
        <v>188</v>
      </c>
      <c r="E62" s="31" t="s">
        <v>314</v>
      </c>
      <c r="F62" s="31" t="s">
        <v>73</v>
      </c>
      <c r="G62" s="31" t="s">
        <v>76</v>
      </c>
      <c r="H62" s="31" t="s">
        <v>64</v>
      </c>
      <c r="I62" s="31" t="s">
        <v>154</v>
      </c>
      <c r="J62" s="32" t="s">
        <v>199</v>
      </c>
      <c r="K62" s="31" t="s">
        <v>20</v>
      </c>
      <c r="L62" s="7" t="s">
        <v>73</v>
      </c>
      <c r="M62" s="7" t="s">
        <v>20</v>
      </c>
      <c r="N62" s="7" t="s">
        <v>84</v>
      </c>
      <c r="O62" s="7">
        <v>1</v>
      </c>
      <c r="P62" s="7" t="s">
        <v>331</v>
      </c>
      <c r="Q62" s="7">
        <v>65</v>
      </c>
      <c r="R62" s="7">
        <v>0</v>
      </c>
      <c r="S62" s="7">
        <v>50</v>
      </c>
      <c r="T62" s="7">
        <v>115</v>
      </c>
      <c r="U62" s="7" t="s">
        <v>247</v>
      </c>
      <c r="V62" s="31"/>
    </row>
    <row r="63" spans="1:23" s="31" customFormat="1" x14ac:dyDescent="0.25">
      <c r="A63" s="31">
        <v>60</v>
      </c>
      <c r="B63" s="31">
        <v>10</v>
      </c>
      <c r="C63" s="7">
        <v>61</v>
      </c>
      <c r="D63" s="31" t="s">
        <v>188</v>
      </c>
      <c r="E63" s="31" t="s">
        <v>329</v>
      </c>
      <c r="F63" s="25" t="s">
        <v>73</v>
      </c>
      <c r="G63" s="25" t="s">
        <v>97</v>
      </c>
      <c r="H63" s="25" t="s">
        <v>99</v>
      </c>
      <c r="I63" s="25" t="s">
        <v>99</v>
      </c>
      <c r="J63" s="25" t="s">
        <v>140</v>
      </c>
      <c r="K63" s="25" t="s">
        <v>20</v>
      </c>
      <c r="L63" s="25" t="s">
        <v>20</v>
      </c>
      <c r="M63" s="25" t="s">
        <v>20</v>
      </c>
      <c r="N63" s="25" t="s">
        <v>70</v>
      </c>
      <c r="O63" s="25">
        <v>1</v>
      </c>
      <c r="P63" s="25">
        <v>0</v>
      </c>
      <c r="Q63" s="25">
        <v>1</v>
      </c>
      <c r="R63" s="25">
        <v>0</v>
      </c>
      <c r="S63" s="25">
        <v>0</v>
      </c>
      <c r="T63" s="25">
        <v>1</v>
      </c>
      <c r="U63" s="7" t="s">
        <v>247</v>
      </c>
    </row>
    <row r="64" spans="1:23" s="31" customFormat="1" x14ac:dyDescent="0.25">
      <c r="A64" s="31">
        <v>61</v>
      </c>
      <c r="B64" s="31">
        <v>11</v>
      </c>
      <c r="C64" s="7">
        <v>62</v>
      </c>
      <c r="D64" s="31" t="s">
        <v>188</v>
      </c>
      <c r="E64" s="31" t="s">
        <v>325</v>
      </c>
      <c r="F64" s="31" t="s">
        <v>20</v>
      </c>
      <c r="G64" s="31" t="s">
        <v>97</v>
      </c>
      <c r="H64" s="31" t="s">
        <v>31</v>
      </c>
      <c r="I64" s="31" t="s">
        <v>99</v>
      </c>
      <c r="J64" s="31" t="s">
        <v>140</v>
      </c>
      <c r="K64" s="31" t="s">
        <v>20</v>
      </c>
      <c r="L64" s="31" t="s">
        <v>20</v>
      </c>
      <c r="M64" s="31" t="s">
        <v>20</v>
      </c>
      <c r="N64" s="31" t="s">
        <v>84</v>
      </c>
      <c r="O64" s="31">
        <v>1</v>
      </c>
      <c r="P64" s="31">
        <v>0</v>
      </c>
      <c r="Q64" s="31">
        <v>20</v>
      </c>
      <c r="R64" s="31">
        <v>0</v>
      </c>
      <c r="S64" s="31">
        <v>15</v>
      </c>
      <c r="T64" s="31">
        <v>50</v>
      </c>
      <c r="U64" s="31" t="s">
        <v>247</v>
      </c>
    </row>
    <row r="65" spans="1:22" s="31" customFormat="1" x14ac:dyDescent="0.25">
      <c r="A65" s="31">
        <v>50</v>
      </c>
      <c r="B65" s="31">
        <v>9</v>
      </c>
      <c r="C65" s="7">
        <v>63</v>
      </c>
      <c r="D65" s="31" t="s">
        <v>188</v>
      </c>
      <c r="E65" s="31" t="s">
        <v>196</v>
      </c>
      <c r="F65" s="31" t="s">
        <v>20</v>
      </c>
      <c r="G65" s="31" t="s">
        <v>62</v>
      </c>
      <c r="H65" s="31" t="s">
        <v>64</v>
      </c>
      <c r="I65" s="31" t="s">
        <v>64</v>
      </c>
      <c r="J65" s="31" t="s">
        <v>94</v>
      </c>
      <c r="K65" s="31" t="s">
        <v>20</v>
      </c>
      <c r="L65" s="31" t="s">
        <v>20</v>
      </c>
      <c r="M65" s="31" t="s">
        <v>20</v>
      </c>
      <c r="N65" s="31" t="s">
        <v>84</v>
      </c>
      <c r="O65" s="31">
        <v>1</v>
      </c>
      <c r="P65" s="31">
        <v>0</v>
      </c>
      <c r="Q65" s="31">
        <v>20</v>
      </c>
      <c r="R65" s="31">
        <v>0</v>
      </c>
      <c r="S65" s="31">
        <v>15</v>
      </c>
      <c r="T65" s="31">
        <v>50</v>
      </c>
      <c r="U65" s="31" t="s">
        <v>247</v>
      </c>
    </row>
    <row r="66" spans="1:22" x14ac:dyDescent="0.25">
      <c r="A66" s="31">
        <v>50</v>
      </c>
      <c r="B66" s="31">
        <v>9</v>
      </c>
      <c r="C66" s="7">
        <v>64</v>
      </c>
      <c r="D66" s="31" t="s">
        <v>188</v>
      </c>
      <c r="E66" s="31" t="s">
        <v>197</v>
      </c>
      <c r="F66" s="31" t="s">
        <v>20</v>
      </c>
      <c r="G66" s="31" t="s">
        <v>62</v>
      </c>
      <c r="H66" s="31" t="s">
        <v>64</v>
      </c>
      <c r="I66" s="31" t="s">
        <v>64</v>
      </c>
      <c r="J66" s="31" t="s">
        <v>94</v>
      </c>
      <c r="K66" s="31" t="s">
        <v>20</v>
      </c>
      <c r="L66" s="31" t="s">
        <v>20</v>
      </c>
      <c r="M66" s="31" t="s">
        <v>20</v>
      </c>
      <c r="N66" s="31" t="s">
        <v>84</v>
      </c>
      <c r="O66" s="31">
        <v>1</v>
      </c>
      <c r="P66" s="31">
        <v>0</v>
      </c>
      <c r="Q66" s="31">
        <v>20</v>
      </c>
      <c r="R66" s="31">
        <v>0</v>
      </c>
      <c r="S66" s="31">
        <v>15</v>
      </c>
      <c r="T66" s="31">
        <v>50</v>
      </c>
      <c r="U66" s="31" t="s">
        <v>247</v>
      </c>
      <c r="V66" s="31"/>
    </row>
    <row r="67" spans="1:22" x14ac:dyDescent="0.25">
      <c r="A67" s="7">
        <v>50</v>
      </c>
      <c r="B67" s="7">
        <v>9</v>
      </c>
      <c r="C67" s="7">
        <v>65</v>
      </c>
      <c r="D67" s="31" t="s">
        <v>188</v>
      </c>
      <c r="E67" s="7" t="s">
        <v>250</v>
      </c>
      <c r="F67" s="7" t="s">
        <v>73</v>
      </c>
      <c r="G67" s="7" t="s">
        <v>62</v>
      </c>
      <c r="H67" s="7" t="s">
        <v>64</v>
      </c>
      <c r="I67" s="7" t="s">
        <v>64</v>
      </c>
      <c r="J67" s="7" t="s">
        <v>201</v>
      </c>
      <c r="K67" s="7" t="s">
        <v>20</v>
      </c>
      <c r="L67" s="7" t="s">
        <v>20</v>
      </c>
      <c r="M67" s="7" t="s">
        <v>20</v>
      </c>
      <c r="N67" s="7" t="s">
        <v>84</v>
      </c>
      <c r="O67" s="7">
        <v>1</v>
      </c>
      <c r="P67" s="7">
        <v>0</v>
      </c>
      <c r="Q67" s="7">
        <v>20</v>
      </c>
      <c r="R67" s="7">
        <v>0</v>
      </c>
      <c r="S67" s="7">
        <v>25</v>
      </c>
      <c r="T67" s="7">
        <v>50</v>
      </c>
      <c r="U67" s="7" t="s">
        <v>247</v>
      </c>
      <c r="V67" s="7"/>
    </row>
    <row r="68" spans="1:22" s="7" customFormat="1" x14ac:dyDescent="0.25">
      <c r="A68" s="7">
        <v>65</v>
      </c>
      <c r="B68" s="7">
        <v>10</v>
      </c>
      <c r="C68" s="7">
        <v>66</v>
      </c>
      <c r="D68" s="31" t="s">
        <v>188</v>
      </c>
      <c r="E68" s="31" t="s">
        <v>179</v>
      </c>
      <c r="F68" s="31" t="s">
        <v>20</v>
      </c>
      <c r="G68" s="31" t="s">
        <v>62</v>
      </c>
      <c r="H68" s="31" t="s">
        <v>64</v>
      </c>
      <c r="I68" s="31" t="s">
        <v>64</v>
      </c>
      <c r="J68" s="32" t="s">
        <v>252</v>
      </c>
      <c r="K68" s="31" t="s">
        <v>20</v>
      </c>
      <c r="L68" s="31" t="s">
        <v>20</v>
      </c>
      <c r="M68" s="31" t="s">
        <v>20</v>
      </c>
      <c r="N68" s="31" t="s">
        <v>70</v>
      </c>
      <c r="O68" s="31">
        <v>1</v>
      </c>
      <c r="P68" s="31">
        <v>5</v>
      </c>
      <c r="Q68" s="31">
        <v>30</v>
      </c>
      <c r="R68" s="31">
        <v>0</v>
      </c>
      <c r="S68" s="31">
        <v>10</v>
      </c>
      <c r="T68" s="31">
        <v>50</v>
      </c>
      <c r="U68" s="7" t="s">
        <v>249</v>
      </c>
      <c r="V68" s="31"/>
    </row>
    <row r="69" spans="1:22" x14ac:dyDescent="0.25">
      <c r="A69" s="7">
        <v>65</v>
      </c>
      <c r="B69" s="7">
        <v>10</v>
      </c>
      <c r="C69" s="7">
        <v>67</v>
      </c>
      <c r="D69" s="31" t="s">
        <v>188</v>
      </c>
      <c r="E69" s="7" t="s">
        <v>312</v>
      </c>
      <c r="F69" s="7" t="s">
        <v>73</v>
      </c>
      <c r="G69" s="7" t="s">
        <v>76</v>
      </c>
      <c r="H69" s="7" t="s">
        <v>64</v>
      </c>
      <c r="I69" s="7" t="s">
        <v>154</v>
      </c>
      <c r="J69" s="7" t="s">
        <v>199</v>
      </c>
      <c r="K69" s="7" t="s">
        <v>20</v>
      </c>
      <c r="L69" s="7" t="s">
        <v>73</v>
      </c>
      <c r="M69" s="7" t="s">
        <v>20</v>
      </c>
      <c r="N69" s="7" t="s">
        <v>84</v>
      </c>
      <c r="O69" s="7">
        <v>1</v>
      </c>
      <c r="P69" s="7">
        <v>0</v>
      </c>
      <c r="Q69" s="7">
        <v>70</v>
      </c>
      <c r="R69" s="7">
        <v>0</v>
      </c>
      <c r="S69" s="7">
        <v>55</v>
      </c>
      <c r="T69" s="7">
        <v>125</v>
      </c>
      <c r="U69" s="7" t="s">
        <v>247</v>
      </c>
      <c r="V69" s="7"/>
    </row>
    <row r="70" spans="1:22" x14ac:dyDescent="0.25">
      <c r="A70" s="7">
        <v>67</v>
      </c>
      <c r="B70" s="7">
        <v>11</v>
      </c>
      <c r="C70" s="7">
        <v>68</v>
      </c>
      <c r="D70" s="31" t="s">
        <v>188</v>
      </c>
      <c r="E70" s="7" t="s">
        <v>329</v>
      </c>
      <c r="F70" s="25" t="s">
        <v>73</v>
      </c>
      <c r="G70" s="25" t="s">
        <v>97</v>
      </c>
      <c r="H70" s="25" t="s">
        <v>99</v>
      </c>
      <c r="I70" s="25" t="s">
        <v>99</v>
      </c>
      <c r="J70" s="25" t="s">
        <v>140</v>
      </c>
      <c r="K70" s="25" t="s">
        <v>20</v>
      </c>
      <c r="L70" s="25" t="s">
        <v>20</v>
      </c>
      <c r="M70" s="25" t="s">
        <v>20</v>
      </c>
      <c r="N70" s="25" t="s">
        <v>70</v>
      </c>
      <c r="O70" s="25">
        <v>1</v>
      </c>
      <c r="P70" s="25">
        <v>0</v>
      </c>
      <c r="Q70" s="25">
        <v>1</v>
      </c>
      <c r="R70" s="25">
        <v>0</v>
      </c>
      <c r="S70" s="25">
        <v>0</v>
      </c>
      <c r="T70" s="25">
        <v>1</v>
      </c>
      <c r="U70" s="7" t="s">
        <v>247</v>
      </c>
      <c r="V70" s="7"/>
    </row>
    <row r="71" spans="1:22" x14ac:dyDescent="0.25">
      <c r="A71" s="7">
        <v>68</v>
      </c>
      <c r="B71" s="7">
        <v>12</v>
      </c>
      <c r="C71" s="7">
        <v>69</v>
      </c>
      <c r="D71" s="31" t="s">
        <v>188</v>
      </c>
      <c r="E71" s="7" t="s">
        <v>328</v>
      </c>
      <c r="F71" s="7" t="s">
        <v>20</v>
      </c>
      <c r="G71" s="7" t="s">
        <v>97</v>
      </c>
      <c r="H71" s="7" t="s">
        <v>99</v>
      </c>
      <c r="I71" s="7" t="s">
        <v>99</v>
      </c>
      <c r="J71" s="7" t="s">
        <v>140</v>
      </c>
      <c r="K71" s="7" t="s">
        <v>20</v>
      </c>
      <c r="L71" s="7" t="s">
        <v>20</v>
      </c>
      <c r="M71" s="7" t="s">
        <v>20</v>
      </c>
      <c r="N71" s="7" t="s">
        <v>84</v>
      </c>
      <c r="O71" s="7">
        <v>1</v>
      </c>
      <c r="P71" s="7">
        <v>0</v>
      </c>
      <c r="Q71" s="7">
        <v>225</v>
      </c>
      <c r="R71" s="7">
        <v>0</v>
      </c>
      <c r="S71" s="7">
        <v>25</v>
      </c>
      <c r="T71" s="7">
        <v>250</v>
      </c>
      <c r="U71" s="7" t="s">
        <v>247</v>
      </c>
      <c r="V71" s="7"/>
    </row>
    <row r="72" spans="1:22" x14ac:dyDescent="0.25">
      <c r="A72" s="7">
        <v>24</v>
      </c>
      <c r="B72" s="7">
        <v>7</v>
      </c>
      <c r="C72" s="7">
        <v>70</v>
      </c>
      <c r="D72" s="7" t="s">
        <v>190</v>
      </c>
      <c r="E72" s="7" t="s">
        <v>191</v>
      </c>
      <c r="F72" s="7" t="s">
        <v>21</v>
      </c>
      <c r="G72" s="7" t="s">
        <v>17</v>
      </c>
      <c r="H72" s="7" t="s">
        <v>82</v>
      </c>
      <c r="I72" s="7" t="s">
        <v>82</v>
      </c>
      <c r="J72" s="7" t="s">
        <v>3</v>
      </c>
      <c r="K72" s="7" t="s">
        <v>20</v>
      </c>
      <c r="L72" s="7" t="s">
        <v>20</v>
      </c>
      <c r="M72" s="7" t="s">
        <v>20</v>
      </c>
      <c r="N72" s="7" t="s">
        <v>21</v>
      </c>
      <c r="O72" s="7">
        <v>1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 t="s">
        <v>248</v>
      </c>
      <c r="V72" s="7"/>
    </row>
    <row r="73" spans="1:22" x14ac:dyDescent="0.25">
      <c r="A73" s="7">
        <v>70</v>
      </c>
      <c r="B73" s="7">
        <v>8</v>
      </c>
      <c r="C73" s="7">
        <v>71</v>
      </c>
      <c r="D73" s="7" t="s">
        <v>190</v>
      </c>
      <c r="E73" s="7" t="s">
        <v>180</v>
      </c>
      <c r="F73" s="7" t="s">
        <v>73</v>
      </c>
      <c r="G73" s="7" t="s">
        <v>62</v>
      </c>
      <c r="H73" s="7" t="s">
        <v>64</v>
      </c>
      <c r="I73" s="7" t="s">
        <v>64</v>
      </c>
      <c r="J73" s="25" t="s">
        <v>252</v>
      </c>
      <c r="K73" s="7" t="s">
        <v>20</v>
      </c>
      <c r="L73" s="7" t="s">
        <v>20</v>
      </c>
      <c r="M73" s="7" t="s">
        <v>20</v>
      </c>
      <c r="N73" s="7" t="s">
        <v>84</v>
      </c>
      <c r="O73" s="7">
        <v>1</v>
      </c>
      <c r="P73" s="7">
        <v>5</v>
      </c>
      <c r="Q73" s="7">
        <v>100</v>
      </c>
      <c r="R73" s="7">
        <v>0</v>
      </c>
      <c r="S73" s="7">
        <v>5</v>
      </c>
      <c r="T73" s="7">
        <v>140</v>
      </c>
      <c r="U73" s="7" t="s">
        <v>248</v>
      </c>
      <c r="V73" s="7"/>
    </row>
    <row r="74" spans="1:22" x14ac:dyDescent="0.25">
      <c r="A74" s="7">
        <v>71</v>
      </c>
      <c r="B74" s="7">
        <v>9</v>
      </c>
      <c r="C74" s="7">
        <v>72</v>
      </c>
      <c r="D74" s="7" t="s">
        <v>190</v>
      </c>
      <c r="E74" s="7" t="s">
        <v>179</v>
      </c>
      <c r="F74" s="7" t="s">
        <v>20</v>
      </c>
      <c r="G74" s="7" t="s">
        <v>62</v>
      </c>
      <c r="H74" s="7" t="s">
        <v>64</v>
      </c>
      <c r="I74" s="7" t="s">
        <v>64</v>
      </c>
      <c r="J74" s="25" t="s">
        <v>252</v>
      </c>
      <c r="K74" s="7" t="s">
        <v>20</v>
      </c>
      <c r="L74" s="7" t="s">
        <v>20</v>
      </c>
      <c r="M74" s="7" t="s">
        <v>20</v>
      </c>
      <c r="N74" s="7" t="s">
        <v>70</v>
      </c>
      <c r="O74" s="7">
        <v>1</v>
      </c>
      <c r="P74" s="7">
        <v>5</v>
      </c>
      <c r="Q74" s="7">
        <v>30</v>
      </c>
      <c r="R74" s="7">
        <v>0</v>
      </c>
      <c r="S74" s="7">
        <v>10</v>
      </c>
      <c r="T74" s="7">
        <v>50</v>
      </c>
      <c r="U74" s="7" t="s">
        <v>249</v>
      </c>
      <c r="V74" s="7"/>
    </row>
    <row r="75" spans="1:22" x14ac:dyDescent="0.25">
      <c r="A75" s="7">
        <v>71</v>
      </c>
      <c r="B75" s="7">
        <v>9</v>
      </c>
      <c r="C75" s="7">
        <v>73</v>
      </c>
      <c r="D75" s="7" t="s">
        <v>190</v>
      </c>
      <c r="E75" s="7" t="s">
        <v>172</v>
      </c>
      <c r="F75" s="7" t="s">
        <v>20</v>
      </c>
      <c r="G75" s="7" t="s">
        <v>62</v>
      </c>
      <c r="H75" s="7" t="s">
        <v>64</v>
      </c>
      <c r="I75" s="7" t="s">
        <v>64</v>
      </c>
      <c r="J75" s="25" t="s">
        <v>252</v>
      </c>
      <c r="K75" s="7" t="s">
        <v>20</v>
      </c>
      <c r="L75" s="7" t="s">
        <v>20</v>
      </c>
      <c r="M75" s="7" t="s">
        <v>20</v>
      </c>
      <c r="N75" s="7" t="s">
        <v>57</v>
      </c>
      <c r="O75" s="7">
        <v>2</v>
      </c>
      <c r="P75" s="7">
        <v>1</v>
      </c>
      <c r="Q75" s="7">
        <v>5</v>
      </c>
      <c r="R75" s="7">
        <v>0</v>
      </c>
      <c r="S75" s="7">
        <v>5</v>
      </c>
      <c r="T75" s="7">
        <v>30</v>
      </c>
      <c r="U75" s="7" t="s">
        <v>248</v>
      </c>
      <c r="V75" s="7"/>
    </row>
    <row r="76" spans="1:22" x14ac:dyDescent="0.25">
      <c r="A76" s="7">
        <v>70</v>
      </c>
      <c r="B76" s="7">
        <v>8</v>
      </c>
      <c r="C76" s="7">
        <v>74</v>
      </c>
      <c r="D76" s="7" t="s">
        <v>190</v>
      </c>
      <c r="E76" s="7" t="s">
        <v>239</v>
      </c>
      <c r="F76" s="7" t="s">
        <v>73</v>
      </c>
      <c r="G76" s="7" t="s">
        <v>62</v>
      </c>
      <c r="H76" s="7" t="s">
        <v>64</v>
      </c>
      <c r="I76" s="7" t="s">
        <v>64</v>
      </c>
      <c r="J76" s="25" t="s">
        <v>252</v>
      </c>
      <c r="K76" s="7" t="s">
        <v>20</v>
      </c>
      <c r="L76" s="7" t="s">
        <v>20</v>
      </c>
      <c r="M76" s="7" t="s">
        <v>20</v>
      </c>
      <c r="N76" s="7" t="s">
        <v>84</v>
      </c>
      <c r="O76" s="7">
        <v>0</v>
      </c>
      <c r="P76" s="7">
        <v>5</v>
      </c>
      <c r="Q76" s="7">
        <v>100</v>
      </c>
      <c r="R76" s="7">
        <v>0</v>
      </c>
      <c r="S76" s="7">
        <v>5</v>
      </c>
      <c r="T76" s="7">
        <v>140</v>
      </c>
      <c r="U76" s="7" t="s">
        <v>248</v>
      </c>
      <c r="V76" s="7" t="s">
        <v>307</v>
      </c>
    </row>
    <row r="77" spans="1:22" x14ac:dyDescent="0.25">
      <c r="A77" s="7">
        <v>74</v>
      </c>
      <c r="B77" s="7">
        <v>9</v>
      </c>
      <c r="C77" s="7">
        <v>75</v>
      </c>
      <c r="D77" s="7" t="s">
        <v>190</v>
      </c>
      <c r="E77" s="7" t="s">
        <v>179</v>
      </c>
      <c r="F77" s="7" t="s">
        <v>20</v>
      </c>
      <c r="G77" s="7" t="s">
        <v>62</v>
      </c>
      <c r="H77" s="7" t="s">
        <v>64</v>
      </c>
      <c r="I77" s="7" t="s">
        <v>64</v>
      </c>
      <c r="J77" s="25" t="s">
        <v>252</v>
      </c>
      <c r="K77" s="7" t="s">
        <v>20</v>
      </c>
      <c r="L77" s="7" t="s">
        <v>20</v>
      </c>
      <c r="M77" s="7" t="s">
        <v>20</v>
      </c>
      <c r="N77" s="7" t="s">
        <v>70</v>
      </c>
      <c r="O77" s="7">
        <v>0</v>
      </c>
      <c r="P77" s="7">
        <v>5</v>
      </c>
      <c r="Q77" s="7">
        <v>30</v>
      </c>
      <c r="R77" s="7">
        <v>0</v>
      </c>
      <c r="S77" s="7">
        <v>10</v>
      </c>
      <c r="T77" s="7">
        <v>50</v>
      </c>
      <c r="U77" s="7" t="s">
        <v>249</v>
      </c>
      <c r="V77" s="7"/>
    </row>
    <row r="78" spans="1:22" x14ac:dyDescent="0.25">
      <c r="A78" s="7">
        <v>74</v>
      </c>
      <c r="B78" s="7">
        <v>9</v>
      </c>
      <c r="C78" s="7">
        <v>76</v>
      </c>
      <c r="D78" s="7" t="s">
        <v>190</v>
      </c>
      <c r="E78" s="7" t="s">
        <v>172</v>
      </c>
      <c r="F78" s="7" t="s">
        <v>20</v>
      </c>
      <c r="G78" s="7" t="s">
        <v>62</v>
      </c>
      <c r="H78" s="7" t="s">
        <v>64</v>
      </c>
      <c r="I78" s="7" t="s">
        <v>64</v>
      </c>
      <c r="J78" s="25" t="s">
        <v>252</v>
      </c>
      <c r="K78" s="7" t="s">
        <v>20</v>
      </c>
      <c r="L78" s="7" t="s">
        <v>20</v>
      </c>
      <c r="M78" s="7" t="s">
        <v>20</v>
      </c>
      <c r="N78" s="7" t="s">
        <v>57</v>
      </c>
      <c r="O78" s="7">
        <v>0</v>
      </c>
      <c r="P78" s="7">
        <v>1</v>
      </c>
      <c r="Q78" s="7">
        <v>5</v>
      </c>
      <c r="R78" s="7">
        <v>0</v>
      </c>
      <c r="S78" s="7">
        <v>5</v>
      </c>
      <c r="T78" s="7">
        <v>30</v>
      </c>
      <c r="U78" s="7" t="s">
        <v>248</v>
      </c>
      <c r="V78" s="7"/>
    </row>
    <row r="79" spans="1:22" x14ac:dyDescent="0.25">
      <c r="A79" s="7">
        <v>70</v>
      </c>
      <c r="B79" s="7">
        <v>8</v>
      </c>
      <c r="C79" s="7">
        <v>77</v>
      </c>
      <c r="D79" s="7" t="s">
        <v>190</v>
      </c>
      <c r="E79" s="7" t="s">
        <v>241</v>
      </c>
      <c r="F79" s="7" t="s">
        <v>20</v>
      </c>
      <c r="G79" s="7" t="s">
        <v>62</v>
      </c>
      <c r="H79" s="7" t="s">
        <v>64</v>
      </c>
      <c r="I79" s="7" t="s">
        <v>64</v>
      </c>
      <c r="J79" s="25" t="s">
        <v>252</v>
      </c>
      <c r="K79" s="7" t="s">
        <v>20</v>
      </c>
      <c r="L79" s="7" t="s">
        <v>20</v>
      </c>
      <c r="M79" s="7" t="s">
        <v>20</v>
      </c>
      <c r="N79" s="7" t="s">
        <v>84</v>
      </c>
      <c r="O79" s="7">
        <v>1</v>
      </c>
      <c r="P79" s="7">
        <v>5</v>
      </c>
      <c r="Q79" s="7">
        <v>30</v>
      </c>
      <c r="R79" s="7">
        <v>0</v>
      </c>
      <c r="S79" s="7">
        <v>5</v>
      </c>
      <c r="T79" s="7">
        <v>50</v>
      </c>
      <c r="U79" s="7" t="s">
        <v>248</v>
      </c>
      <c r="V79" s="7"/>
    </row>
    <row r="80" spans="1:22" x14ac:dyDescent="0.25">
      <c r="A80" s="7">
        <v>70</v>
      </c>
      <c r="B80" s="7">
        <v>8</v>
      </c>
      <c r="C80" s="7">
        <v>78</v>
      </c>
      <c r="D80" s="7" t="s">
        <v>190</v>
      </c>
      <c r="E80" s="7" t="s">
        <v>240</v>
      </c>
      <c r="F80" s="7" t="s">
        <v>20</v>
      </c>
      <c r="G80" s="7" t="s">
        <v>62</v>
      </c>
      <c r="H80" s="7" t="s">
        <v>64</v>
      </c>
      <c r="I80" s="7" t="s">
        <v>64</v>
      </c>
      <c r="J80" s="25" t="s">
        <v>252</v>
      </c>
      <c r="K80" s="7" t="s">
        <v>20</v>
      </c>
      <c r="L80" s="7" t="s">
        <v>20</v>
      </c>
      <c r="M80" s="7" t="s">
        <v>20</v>
      </c>
      <c r="N80" s="7" t="s">
        <v>84</v>
      </c>
      <c r="O80" s="7">
        <v>1</v>
      </c>
      <c r="P80" s="7">
        <v>5</v>
      </c>
      <c r="Q80" s="7">
        <v>30</v>
      </c>
      <c r="R80" s="7">
        <v>0</v>
      </c>
      <c r="S80" s="7">
        <v>5</v>
      </c>
      <c r="T80" s="7">
        <v>50</v>
      </c>
      <c r="U80" s="7" t="s">
        <v>248</v>
      </c>
      <c r="V80" s="7"/>
    </row>
    <row r="81" spans="1:22" x14ac:dyDescent="0.25">
      <c r="A81" s="7">
        <v>70</v>
      </c>
      <c r="B81" s="7">
        <v>8</v>
      </c>
      <c r="C81" s="7">
        <v>79</v>
      </c>
      <c r="D81" s="7" t="s">
        <v>190</v>
      </c>
      <c r="E81" s="7" t="s">
        <v>242</v>
      </c>
      <c r="F81" s="7" t="s">
        <v>20</v>
      </c>
      <c r="G81" s="7" t="s">
        <v>62</v>
      </c>
      <c r="H81" s="7" t="s">
        <v>64</v>
      </c>
      <c r="I81" s="7" t="s">
        <v>64</v>
      </c>
      <c r="J81" s="25" t="s">
        <v>252</v>
      </c>
      <c r="K81" s="7" t="s">
        <v>20</v>
      </c>
      <c r="L81" s="7" t="s">
        <v>20</v>
      </c>
      <c r="M81" s="7" t="s">
        <v>20</v>
      </c>
      <c r="N81" s="7" t="s">
        <v>84</v>
      </c>
      <c r="O81" s="7">
        <v>1</v>
      </c>
      <c r="P81" s="7">
        <v>5</v>
      </c>
      <c r="Q81" s="7">
        <v>30</v>
      </c>
      <c r="R81" s="7">
        <v>0</v>
      </c>
      <c r="S81" s="7">
        <v>5</v>
      </c>
      <c r="T81" s="7">
        <v>50</v>
      </c>
      <c r="U81" s="7" t="s">
        <v>248</v>
      </c>
      <c r="V81" s="7"/>
    </row>
    <row r="82" spans="1:22" x14ac:dyDescent="0.25">
      <c r="A82" s="7">
        <v>70</v>
      </c>
      <c r="B82" s="7">
        <v>8</v>
      </c>
      <c r="C82" s="7">
        <v>80</v>
      </c>
      <c r="D82" s="7" t="s">
        <v>190</v>
      </c>
      <c r="E82" s="7" t="s">
        <v>243</v>
      </c>
      <c r="F82" s="7" t="s">
        <v>20</v>
      </c>
      <c r="G82" s="7" t="s">
        <v>62</v>
      </c>
      <c r="H82" s="7" t="s">
        <v>64</v>
      </c>
      <c r="I82" s="7" t="s">
        <v>64</v>
      </c>
      <c r="J82" s="25" t="s">
        <v>252</v>
      </c>
      <c r="K82" s="7" t="s">
        <v>20</v>
      </c>
      <c r="L82" s="7" t="s">
        <v>20</v>
      </c>
      <c r="M82" s="7" t="s">
        <v>20</v>
      </c>
      <c r="N82" s="7" t="s">
        <v>84</v>
      </c>
      <c r="O82" s="7">
        <v>0</v>
      </c>
      <c r="P82" s="7">
        <v>5</v>
      </c>
      <c r="Q82" s="7">
        <v>30</v>
      </c>
      <c r="R82" s="7">
        <v>0</v>
      </c>
      <c r="S82" s="7">
        <v>5</v>
      </c>
      <c r="T82" s="7">
        <v>50</v>
      </c>
      <c r="U82" s="7" t="s">
        <v>248</v>
      </c>
      <c r="V82" s="7"/>
    </row>
    <row r="83" spans="1:22" x14ac:dyDescent="0.25">
      <c r="A83" s="7">
        <v>19</v>
      </c>
      <c r="B83" s="7">
        <v>4</v>
      </c>
      <c r="C83" s="7">
        <v>81</v>
      </c>
      <c r="D83" s="7" t="s">
        <v>168</v>
      </c>
      <c r="E83" s="7" t="s">
        <v>327</v>
      </c>
      <c r="F83" s="7" t="s">
        <v>20</v>
      </c>
      <c r="G83" s="7" t="s">
        <v>97</v>
      </c>
      <c r="H83" s="7" t="s">
        <v>99</v>
      </c>
      <c r="I83" s="7" t="s">
        <v>99</v>
      </c>
      <c r="J83" s="7" t="s">
        <v>140</v>
      </c>
      <c r="K83" s="7" t="s">
        <v>20</v>
      </c>
      <c r="L83" s="7" t="s">
        <v>73</v>
      </c>
      <c r="M83" s="7" t="s">
        <v>73</v>
      </c>
      <c r="N83" s="7" t="s">
        <v>21</v>
      </c>
      <c r="O83" s="7">
        <v>1</v>
      </c>
      <c r="P83" s="7">
        <v>0</v>
      </c>
      <c r="Q83" s="7">
        <v>50</v>
      </c>
      <c r="R83" s="7">
        <v>0</v>
      </c>
      <c r="S83" s="7">
        <v>0</v>
      </c>
      <c r="T83" s="7">
        <v>50</v>
      </c>
      <c r="U83" s="7" t="s">
        <v>247</v>
      </c>
      <c r="V83" s="7"/>
    </row>
    <row r="84" spans="1:22" x14ac:dyDescent="0.25">
      <c r="A84" s="7">
        <v>2</v>
      </c>
      <c r="B84" s="7">
        <v>2</v>
      </c>
      <c r="C84" s="7">
        <v>82</v>
      </c>
      <c r="D84" s="7" t="s">
        <v>169</v>
      </c>
      <c r="E84" s="7" t="s">
        <v>169</v>
      </c>
      <c r="F84" s="7" t="s">
        <v>21</v>
      </c>
      <c r="G84" s="7" t="s">
        <v>17</v>
      </c>
      <c r="H84" s="7" t="s">
        <v>82</v>
      </c>
      <c r="I84" s="7" t="s">
        <v>82</v>
      </c>
      <c r="J84" s="7" t="s">
        <v>3</v>
      </c>
      <c r="K84" s="7" t="s">
        <v>20</v>
      </c>
      <c r="L84" s="7" t="s">
        <v>73</v>
      </c>
      <c r="M84" s="7" t="s">
        <v>73</v>
      </c>
      <c r="N84" s="7" t="s">
        <v>84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 t="s">
        <v>247</v>
      </c>
      <c r="V84" s="7"/>
    </row>
    <row r="85" spans="1:22" x14ac:dyDescent="0.25">
      <c r="A85" s="7">
        <v>82</v>
      </c>
      <c r="B85" s="7">
        <v>3</v>
      </c>
      <c r="C85" s="7">
        <v>83</v>
      </c>
      <c r="D85" s="7" t="s">
        <v>169</v>
      </c>
      <c r="E85" s="7" t="s">
        <v>253</v>
      </c>
      <c r="F85" s="7" t="s">
        <v>73</v>
      </c>
      <c r="G85" s="7" t="s">
        <v>97</v>
      </c>
      <c r="H85" s="7" t="s">
        <v>99</v>
      </c>
      <c r="I85" s="7" t="s">
        <v>99</v>
      </c>
      <c r="J85" s="7" t="s">
        <v>140</v>
      </c>
      <c r="K85" s="7" t="s">
        <v>20</v>
      </c>
      <c r="L85" s="7" t="s">
        <v>73</v>
      </c>
      <c r="M85" s="7" t="s">
        <v>73</v>
      </c>
      <c r="N85" s="7" t="s">
        <v>21</v>
      </c>
      <c r="O85" s="7">
        <v>1</v>
      </c>
      <c r="P85" s="7">
        <v>0</v>
      </c>
      <c r="Q85" s="7">
        <v>50</v>
      </c>
      <c r="R85" s="7">
        <v>0</v>
      </c>
      <c r="S85" s="7">
        <v>0</v>
      </c>
      <c r="T85" s="7">
        <v>50</v>
      </c>
      <c r="U85" s="7" t="s">
        <v>247</v>
      </c>
      <c r="V85" s="7"/>
    </row>
    <row r="86" spans="1:22" x14ac:dyDescent="0.25">
      <c r="A86" s="7">
        <v>83</v>
      </c>
      <c r="B86" s="7">
        <v>4</v>
      </c>
      <c r="C86" s="7">
        <v>84</v>
      </c>
      <c r="D86" s="7" t="s">
        <v>169</v>
      </c>
      <c r="E86" s="7" t="s">
        <v>182</v>
      </c>
      <c r="F86" s="7" t="s">
        <v>20</v>
      </c>
      <c r="G86" s="7" t="s">
        <v>97</v>
      </c>
      <c r="H86" s="7" t="s">
        <v>99</v>
      </c>
      <c r="I86" s="7" t="s">
        <v>99</v>
      </c>
      <c r="J86" s="7" t="s">
        <v>140</v>
      </c>
      <c r="K86" s="7" t="s">
        <v>20</v>
      </c>
      <c r="L86" s="7" t="s">
        <v>73</v>
      </c>
      <c r="M86" s="7" t="s">
        <v>20</v>
      </c>
      <c r="N86" s="7" t="s">
        <v>21</v>
      </c>
      <c r="O86" s="7">
        <v>1</v>
      </c>
      <c r="P86" s="7">
        <v>0</v>
      </c>
      <c r="Q86" s="7">
        <v>100</v>
      </c>
      <c r="R86" s="7">
        <v>0</v>
      </c>
      <c r="S86" s="7">
        <v>0</v>
      </c>
      <c r="T86" s="7">
        <v>100</v>
      </c>
      <c r="U86" s="7" t="s">
        <v>247</v>
      </c>
      <c r="V86" s="7"/>
    </row>
    <row r="87" spans="1:22" x14ac:dyDescent="0.25">
      <c r="A87" s="7">
        <v>83</v>
      </c>
      <c r="B87" s="7">
        <v>4</v>
      </c>
      <c r="C87" s="7">
        <v>85</v>
      </c>
      <c r="D87" s="7" t="s">
        <v>169</v>
      </c>
      <c r="E87" s="7" t="s">
        <v>181</v>
      </c>
      <c r="F87" s="7" t="s">
        <v>20</v>
      </c>
      <c r="G87" s="7" t="s">
        <v>97</v>
      </c>
      <c r="H87" s="7" t="s">
        <v>99</v>
      </c>
      <c r="I87" s="7" t="s">
        <v>99</v>
      </c>
      <c r="J87" s="7" t="s">
        <v>140</v>
      </c>
      <c r="K87" s="7" t="s">
        <v>20</v>
      </c>
      <c r="L87" s="7" t="s">
        <v>73</v>
      </c>
      <c r="M87" s="7" t="s">
        <v>73</v>
      </c>
      <c r="N87" s="7" t="s">
        <v>21</v>
      </c>
      <c r="O87" s="7">
        <v>1</v>
      </c>
      <c r="P87" s="7">
        <v>0</v>
      </c>
      <c r="Q87" s="7">
        <v>50</v>
      </c>
      <c r="R87" s="7">
        <v>0</v>
      </c>
      <c r="S87" s="7">
        <v>0</v>
      </c>
      <c r="T87" s="7">
        <v>50</v>
      </c>
      <c r="U87" s="7" t="s">
        <v>247</v>
      </c>
      <c r="V87" s="7"/>
    </row>
    <row r="88" spans="1:22" x14ac:dyDescent="0.25">
      <c r="D88" s="7"/>
      <c r="E88" s="7"/>
      <c r="U88" s="7"/>
      <c r="V88" s="7"/>
    </row>
  </sheetData>
  <mergeCells count="3">
    <mergeCell ref="A1:C1"/>
    <mergeCell ref="D1:J1"/>
    <mergeCell ref="K1:T1"/>
  </mergeCell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B208DDD-2B1D-499B-B78E-11F5E85F8FE0}">
          <x14:formula1>
            <xm:f>OldMetaData!$B$4:$B$13</xm:f>
          </x14:formula1>
          <xm:sqref>G3:G87</xm:sqref>
        </x14:dataValidation>
        <x14:dataValidation type="list" allowBlank="1" showInputMessage="1" showErrorMessage="1" xr:uid="{B94FD028-E663-4FAA-9BD6-3DCC850B39C4}">
          <x14:formula1>
            <xm:f>OldMetaData!$G$4:$G$19</xm:f>
          </x14:formula1>
          <xm:sqref>H3:I87</xm:sqref>
        </x14:dataValidation>
        <x14:dataValidation type="list" allowBlank="1" showInputMessage="1" showErrorMessage="1" xr:uid="{0C313EC5-6C3A-4A58-AE56-D57848E91443}">
          <x14:formula1>
            <xm:f>OldMetaData!$Y$4:$Y$7</xm:f>
          </x14:formula1>
          <xm:sqref>K3:M87</xm:sqref>
        </x14:dataValidation>
        <x14:dataValidation type="list" allowBlank="1" showInputMessage="1" showErrorMessage="1" xr:uid="{5EDE443C-16AE-481F-B9B5-A02AD1DF03ED}">
          <x14:formula1>
            <xm:f>OldMetaData!$U$4:$U$8</xm:f>
          </x14:formula1>
          <xm:sqref>N3:N87</xm:sqref>
        </x14:dataValidation>
        <x14:dataValidation type="list" allowBlank="1" showInputMessage="1" showErrorMessage="1" xr:uid="{1D21DE93-7218-4E66-A51D-7A520C57172E}">
          <x14:formula1>
            <xm:f>OldMetaData!$L$4:$L$17</xm:f>
          </x14:formula1>
          <xm:sqref>J3:J87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145E-AC96-4465-9BA4-91E9DCBEA0A7}">
  <sheetPr codeName="Sheet2"/>
  <dimension ref="A1:AD87"/>
  <sheetViews>
    <sheetView workbookViewId="0">
      <pane xSplit="5" ySplit="2" topLeftCell="J3" activePane="bottomRight" state="frozen"/>
      <selection pane="topRight" activeCell="F1" sqref="F1"/>
      <selection pane="bottomLeft" activeCell="A3" sqref="A3"/>
      <selection pane="bottomRight" activeCell="E4" sqref="E4"/>
    </sheetView>
  </sheetViews>
  <sheetFormatPr defaultRowHeight="15" x14ac:dyDescent="0.25"/>
  <cols>
    <col min="1" max="1" width="4.5703125" style="8" bestFit="1" customWidth="1"/>
    <col min="2" max="3" width="5.7109375" style="8" bestFit="1" customWidth="1"/>
    <col min="4" max="4" width="27.140625" style="8" bestFit="1" customWidth="1"/>
    <col min="5" max="5" width="50.42578125" style="8" customWidth="1"/>
    <col min="6" max="6" width="16" style="8" bestFit="1" customWidth="1"/>
    <col min="7" max="8" width="23" style="8" bestFit="1" customWidth="1"/>
    <col min="9" max="9" width="25.85546875" style="8" bestFit="1" customWidth="1"/>
    <col min="10" max="10" width="7.7109375" style="8" bestFit="1" customWidth="1"/>
    <col min="11" max="11" width="4.42578125" style="8" bestFit="1" customWidth="1"/>
    <col min="12" max="12" width="5.28515625" style="8" bestFit="1" customWidth="1"/>
    <col min="13" max="13" width="8.42578125" style="8" bestFit="1" customWidth="1"/>
    <col min="14" max="14" width="10.28515625" style="8" bestFit="1" customWidth="1"/>
    <col min="15" max="15" width="5.140625" style="8" bestFit="1" customWidth="1"/>
    <col min="16" max="16" width="5.42578125" style="8" bestFit="1" customWidth="1"/>
    <col min="17" max="17" width="5.85546875" style="8" bestFit="1" customWidth="1"/>
    <col min="18" max="18" width="12.140625" style="8" bestFit="1" customWidth="1"/>
    <col min="19" max="19" width="10" style="8" bestFit="1" customWidth="1"/>
    <col min="20" max="20" width="7.7109375" style="8" bestFit="1" customWidth="1"/>
    <col min="21" max="21" width="11.42578125" style="8" bestFit="1" customWidth="1"/>
    <col min="22" max="22" width="10" style="8" bestFit="1" customWidth="1"/>
    <col min="23" max="23" width="10" style="8" customWidth="1"/>
    <col min="24" max="24" width="7.7109375" style="8" bestFit="1" customWidth="1"/>
    <col min="25" max="25" width="10.42578125" style="8" bestFit="1" customWidth="1"/>
    <col min="26" max="26" width="9.5703125" style="8" bestFit="1" customWidth="1"/>
    <col min="27" max="27" width="5.7109375" style="8" bestFit="1" customWidth="1"/>
    <col min="28" max="28" width="8.42578125" style="8" customWidth="1"/>
    <col min="29" max="29" width="30.5703125" style="8" customWidth="1"/>
    <col min="30" max="16384" width="9.140625" style="8"/>
  </cols>
  <sheetData>
    <row r="1" spans="1:30" x14ac:dyDescent="0.25">
      <c r="A1" s="40" t="s">
        <v>150</v>
      </c>
      <c r="B1" s="41"/>
      <c r="C1" s="42"/>
      <c r="D1" s="43" t="s">
        <v>152</v>
      </c>
      <c r="E1" s="44"/>
      <c r="F1" s="44"/>
      <c r="G1" s="44"/>
      <c r="H1" s="44"/>
      <c r="I1" s="44"/>
      <c r="J1" s="45" t="s">
        <v>151</v>
      </c>
      <c r="K1" s="46"/>
      <c r="L1" s="46"/>
      <c r="M1" s="46"/>
      <c r="N1" s="46"/>
      <c r="O1" s="46"/>
      <c r="P1" s="46"/>
      <c r="Q1" s="46"/>
      <c r="R1" s="46"/>
      <c r="S1" s="47" t="s">
        <v>164</v>
      </c>
      <c r="T1" s="48"/>
      <c r="U1" s="48"/>
      <c r="V1" s="48"/>
      <c r="W1" s="48"/>
      <c r="X1" s="48"/>
      <c r="Y1" s="48"/>
      <c r="Z1" s="48"/>
      <c r="AA1" s="49"/>
      <c r="AB1" s="26"/>
    </row>
    <row r="2" spans="1:30" ht="75" x14ac:dyDescent="0.25">
      <c r="A2" s="3" t="s">
        <v>0</v>
      </c>
      <c r="B2" s="4" t="s">
        <v>1</v>
      </c>
      <c r="C2" s="4" t="s">
        <v>2</v>
      </c>
      <c r="D2" s="4" t="s">
        <v>3</v>
      </c>
      <c r="E2" s="4" t="s">
        <v>152</v>
      </c>
      <c r="F2" s="4" t="s">
        <v>148</v>
      </c>
      <c r="G2" s="4" t="s">
        <v>31</v>
      </c>
      <c r="H2" s="4" t="s">
        <v>149</v>
      </c>
      <c r="I2" s="4" t="s">
        <v>5</v>
      </c>
      <c r="J2" s="4" t="s">
        <v>6</v>
      </c>
      <c r="K2" s="4" t="s">
        <v>7</v>
      </c>
      <c r="L2" s="5" t="s">
        <v>8</v>
      </c>
      <c r="M2" s="4" t="s">
        <v>9</v>
      </c>
      <c r="N2" s="4" t="s">
        <v>10</v>
      </c>
      <c r="O2" s="4" t="s">
        <v>11</v>
      </c>
      <c r="P2" s="4" t="s">
        <v>12</v>
      </c>
      <c r="Q2" s="4" t="s">
        <v>13</v>
      </c>
      <c r="R2" s="4" t="s">
        <v>14</v>
      </c>
      <c r="S2" s="4" t="s">
        <v>156</v>
      </c>
      <c r="T2" s="4" t="s">
        <v>157</v>
      </c>
      <c r="U2" s="4" t="s">
        <v>158</v>
      </c>
      <c r="V2" s="4" t="s">
        <v>15</v>
      </c>
      <c r="W2" s="4" t="s">
        <v>254</v>
      </c>
      <c r="X2" s="4" t="s">
        <v>159</v>
      </c>
      <c r="Y2" s="4" t="s">
        <v>160</v>
      </c>
      <c r="Z2" s="4" t="s">
        <v>161</v>
      </c>
      <c r="AA2" s="4" t="s">
        <v>226</v>
      </c>
      <c r="AB2" s="4" t="s">
        <v>244</v>
      </c>
      <c r="AC2" s="4" t="s">
        <v>162</v>
      </c>
      <c r="AD2" s="4" t="s">
        <v>227</v>
      </c>
    </row>
    <row r="3" spans="1:30" x14ac:dyDescent="0.25">
      <c r="A3" s="8">
        <f>IFERROR(IF(tblInputSheet[[#This Row],[Link]] = "", "", tblInputSheet[[#This Row],[Link]]), "")</f>
        <v>0</v>
      </c>
      <c r="B3" s="8">
        <f>IFERROR(IF(tblInputSheet[[#This Row],[Level]] = "", "", tblInputSheet[[#This Row],[Level]]), "")</f>
        <v>0</v>
      </c>
      <c r="C3" s="8">
        <f>IFERROR(IF(tblInputSheet[[#This Row],[Sl.No]] = "", "", tblInputSheet[[#This Row],[Sl.No]]), "")</f>
        <v>1</v>
      </c>
      <c r="D3" s="8" t="str">
        <f>IFERROR(IF(tblInputSheet[[#This Row],[Group]] = "", "", tblInputSheet[[#This Row],[Group]]), "")</f>
        <v>Claim Adjudication</v>
      </c>
      <c r="E3" s="8" t="str">
        <f>IFERROR(IF(tblInputSheet[[#This Row],[Process]] = "", "", REPT("*",Display!$B3)&amp;""&amp;tblInputSheet[[#This Row],[Process]]), "")</f>
        <v>Claim Adjudication</v>
      </c>
      <c r="F3" s="8" t="str">
        <f>IFERROR(IF(tblInputSheet[[#This Row],[Hosted Platform]] = "", "", tblInputSheet[[#This Row],[Hosted Platform]]), "")</f>
        <v>Business Process</v>
      </c>
      <c r="G3" s="8" t="str">
        <f>IFERROR(IF(tblInputSheet[[#This Row],[Provider]] = "-", "", tblInputSheet[[#This Row],[Provider]]), "")</f>
        <v>NA</v>
      </c>
      <c r="H3" s="8" t="str">
        <f>IFERROR(IF(tblInputSheet[[#This Row],[Consumer]] = "-", "", tblInputSheet[[#This Row],[Consumer]]), "")</f>
        <v>NA</v>
      </c>
      <c r="I3" s="8" t="str">
        <f>IFERROR(IF(tblInputSheet[[#This Row],[Integration Pattern]] = "-", "", tblInputSheet[[#This Row],[Integration Pattern]]), "")</f>
        <v>Group</v>
      </c>
      <c r="J3" s="8" t="str">
        <f>IFERROR(IF(tblInputSheet[[#This Row],[Current State]] = "-", "", tblInputSheet[[#This Row],[Current State]]), "")</f>
        <v>Y</v>
      </c>
      <c r="K3" s="8" t="str">
        <f>IFERROR(IF(tblInputSheet[[#This Row],[End State]] = "-", "", tblInputSheet[[#This Row],[End State]]), "")</f>
        <v>Y</v>
      </c>
      <c r="L3" s="8" t="str">
        <f>IFERROR(IF(tblInputSheet[[#This Row],[MVP]] = "-", "", tblInputSheet[[#This Row],[MVP]]), "")</f>
        <v>Y</v>
      </c>
      <c r="M3" s="8" t="str">
        <f>IFERROR(IF(tblInputSheet[[#This Row],[Confidence Factor]] = "-", "", VLOOKUP(tblInputSheet[[#This Row],[Confidence Factor]], tblConfidenceFactor[], 3,FALSE)), "")</f>
        <v>Group</v>
      </c>
      <c r="N3" s="8">
        <f>IFERROR(IF(tblInputSheet[[#This Row],[Count of Invocations]] = "", "", tblInputSheet[[#This Row],[Count of Invocations]]), "")</f>
        <v>0</v>
      </c>
      <c r="O3" s="8">
        <f>IFERROR(IF(tblInputSheet[[#This Row],[DB Calls (ms)]] = "", "", tblInputSheet[[#This Row],[DB Calls (ms)]]), "")</f>
        <v>0</v>
      </c>
      <c r="P3" s="8">
        <f>IFERROR(IF(tblInputSheet[[#This Row],[Logic (ms)]] = "", "", tblInputSheet[[#This Row],[Logic (ms)]]), "")</f>
        <v>0</v>
      </c>
      <c r="Q3" s="8">
        <f>IFERROR(IF(tblInputSheet[[#This Row],[Rules (ms)]] = "", "", tblInputSheet[[#This Row],[Rules (ms)]]), "")</f>
        <v>0</v>
      </c>
      <c r="R3" s="8">
        <f>IFERROR(IF(tblInputSheet[[#This Row],[Latency (ms)]] = "", "", tblInputSheet[[#This Row],[Latency (ms)]]), "")</f>
        <v>0</v>
      </c>
      <c r="S3" s="8">
        <f>IFERROR(SUM(tblDisplaySheet[[#This Row],[DB Calls (ms)]:[Latency (ms)]]), "")</f>
        <v>0</v>
      </c>
      <c r="T3" s="8">
        <f>IFERROR(tblDisplaySheet[[#This Row],[Time of Function / Call]]*tblDisplaySheet[[#This Row],[Count of Invocations]], "")</f>
        <v>0</v>
      </c>
      <c r="U3" s="8">
        <v>4334</v>
      </c>
      <c r="V3" s="8">
        <f>IFERROR(IF(tblInputSheet[[#This Row],[Process NFR]] = "", "", tblInputSheet[[#This Row],[Process NFR]]), "")</f>
        <v>3000</v>
      </c>
      <c r="W3" s="8">
        <f>tblDisplaySheet[[#This Row],[Process NFR]]*tblDisplaySheet[[#This Row],[Count of Invocations]]</f>
        <v>0</v>
      </c>
      <c r="X3" s="8">
        <v>4743</v>
      </c>
      <c r="Y3" s="8">
        <f>tblDisplaySheet[[#This Row],[Total Process Path Length NFR]]-tblDisplaySheet[[#This Row],[Total Process Path Length]]</f>
        <v>409</v>
      </c>
      <c r="Z3" s="8" t="str">
        <f>IF(tblDisplaySheet[[#This Row],[Difference]]&gt;=0, "On Target", "Off Target")</f>
        <v>On Target</v>
      </c>
      <c r="AA3" s="8" t="str">
        <f>IFERROR(IF(tblInputSheet[[#This Row],[Is Leaf ?]] = "-", "", tblInputSheet[[#This Row],[Is Leaf ?]]), "")</f>
        <v>G</v>
      </c>
      <c r="AB3" s="8" t="str">
        <f>IFERROR(IF(tblInputSheet[[#This Row],[Owner]] = "", "", tblInputSheet[[#This Row],[Owner]]), "")</f>
        <v>JB</v>
      </c>
      <c r="AC3" s="8" t="s">
        <v>73</v>
      </c>
      <c r="AD3" s="9" t="s">
        <v>73</v>
      </c>
    </row>
    <row r="4" spans="1:30" x14ac:dyDescent="0.25">
      <c r="A4" s="8">
        <f>IFERROR(IF(tblInputSheet[[#This Row],[Link]] = "", "", tblInputSheet[[#This Row],[Link]]), "")</f>
        <v>1</v>
      </c>
      <c r="B4" s="8">
        <f>IFERROR(IF(tblInputSheet[[#This Row],[Level]] = "", "", tblInputSheet[[#This Row],[Level]]), "")</f>
        <v>1</v>
      </c>
      <c r="C4" s="8">
        <f>IFERROR(IF(tblInputSheet[[#This Row],[Sl.No]] = "", "", tblInputSheet[[#This Row],[Sl.No]]), "")</f>
        <v>2</v>
      </c>
      <c r="D4" s="8" t="str">
        <f>IFERROR(IF(tblInputSheet[[#This Row],[Group]] = "", "", tblInputSheet[[#This Row],[Group]]), "")</f>
        <v>RTIS</v>
      </c>
      <c r="E4" s="8" t="str">
        <f>IFERROR(IF(tblInputSheet[[#This Row],[Process]] = "", "", REPT("*",Display!$B4)&amp;""&amp;tblInputSheet[[#This Row],[Process]]), "")</f>
        <v>*RTIS</v>
      </c>
      <c r="F4" s="8" t="str">
        <f>IFERROR(IF(tblInputSheet[[#This Row],[Hosted Platform]] = "", "", tblInputSheet[[#This Row],[Hosted Platform]]), "")</f>
        <v>Legacy BC</v>
      </c>
      <c r="G4" s="8" t="str">
        <f>IFERROR(IF(tblInputSheet[[#This Row],[Provider]] = "-", "", tblInputSheet[[#This Row],[Provider]]), "")</f>
        <v>Claims-Legacy</v>
      </c>
      <c r="H4" s="8" t="str">
        <f>IFERROR(IF(tblInputSheet[[#This Row],[Consumer]] = "-", "", tblInputSheet[[#This Row],[Consumer]]), "")</f>
        <v>Claims-Legacy</v>
      </c>
      <c r="I4" s="8" t="str">
        <f>IFERROR(IF(tblInputSheet[[#This Row],[Integration Pattern]] = "-", "", tblInputSheet[[#This Row],[Integration Pattern]]), "")</f>
        <v>BC Internal</v>
      </c>
      <c r="J4" s="8" t="str">
        <f>IFERROR(IF(tblInputSheet[[#This Row],[Current State]] = "-", "", tblInputSheet[[#This Row],[Current State]]), "")</f>
        <v>Y</v>
      </c>
      <c r="K4" s="8" t="str">
        <f>IFERROR(IF(tblInputSheet[[#This Row],[End State]] = "-", "", tblInputSheet[[#This Row],[End State]]), "")</f>
        <v>N</v>
      </c>
      <c r="L4" s="8" t="str">
        <f>IFERROR(IF(tblInputSheet[[#This Row],[MVP]] = "-", "", tblInputSheet[[#This Row],[MVP]]), "")</f>
        <v>N</v>
      </c>
      <c r="M4" s="8" t="str">
        <f>IFERROR(IF(tblInputSheet[[#This Row],[Confidence Factor]] = "-", "", VLOOKUP(tblInputSheet[[#This Row],[Confidence Factor]], tblConfidenceFactor[], 3,FALSE)), "")</f>
        <v>Group</v>
      </c>
      <c r="N4" s="8">
        <f>IFERROR(IF(tblInputSheet[[#This Row],[Count of Invocations]] = "", "", tblInputSheet[[#This Row],[Count of Invocations]]), "")</f>
        <v>1</v>
      </c>
      <c r="O4" s="8">
        <f>IFERROR(IF(tblInputSheet[[#This Row],[DB Calls (ms)]] = "", "", tblInputSheet[[#This Row],[DB Calls (ms)]]), "")</f>
        <v>0</v>
      </c>
      <c r="P4" s="8">
        <f>IFERROR(IF(tblInputSheet[[#This Row],[Logic (ms)]] = "", "", tblInputSheet[[#This Row],[Logic (ms)]]), "")</f>
        <v>0</v>
      </c>
      <c r="Q4" s="8">
        <f>IFERROR(IF(tblInputSheet[[#This Row],[Rules (ms)]] = "", "", tblInputSheet[[#This Row],[Rules (ms)]]), "")</f>
        <v>0</v>
      </c>
      <c r="R4" s="8">
        <f>IFERROR(IF(tblInputSheet[[#This Row],[Latency (ms)]] = "", "", tblInputSheet[[#This Row],[Latency (ms)]]), "")</f>
        <v>0</v>
      </c>
      <c r="S4" s="8">
        <f>IFERROR(SUM(tblDisplaySheet[[#This Row],[DB Calls (ms)]:[Latency (ms)]]), "")</f>
        <v>0</v>
      </c>
      <c r="T4" s="8">
        <f>IFERROR(tblDisplaySheet[[#This Row],[Time of Function / Call]]*tblDisplaySheet[[#This Row],[Count of Invocations]], "")</f>
        <v>0</v>
      </c>
      <c r="U4" s="8">
        <v>4334</v>
      </c>
      <c r="V4" s="8">
        <f>IFERROR(IF(tblInputSheet[[#This Row],[Process NFR]] = "", "", tblInputSheet[[#This Row],[Process NFR]]), "")</f>
        <v>0</v>
      </c>
      <c r="W4" s="8">
        <f>tblDisplaySheet[[#This Row],[Process NFR]]*tblDisplaySheet[[#This Row],[Count of Invocations]]</f>
        <v>0</v>
      </c>
      <c r="X4" s="8">
        <v>4743</v>
      </c>
      <c r="Y4" s="8">
        <f>tblDisplaySheet[[#This Row],[Total Process Path Length NFR]]-tblDisplaySheet[[#This Row],[Total Process Path Length]]</f>
        <v>409</v>
      </c>
      <c r="Z4" s="8" t="str">
        <f>IF(tblDisplaySheet[[#This Row],[Difference]]&gt;=0, "On Target", "Off Target")</f>
        <v>On Target</v>
      </c>
      <c r="AA4" s="8" t="str">
        <f>IFERROR(IF(tblInputSheet[[#This Row],[Is Leaf ?]] = "-", "", tblInputSheet[[#This Row],[Is Leaf ?]]), "")</f>
        <v>N</v>
      </c>
      <c r="AB4" s="8" t="str">
        <f>IFERROR(IF(tblInputSheet[[#This Row],[Owner]] = "", "", tblInputSheet[[#This Row],[Owner]]), "")</f>
        <v>Alak</v>
      </c>
      <c r="AC4" s="8" t="s">
        <v>73</v>
      </c>
      <c r="AD4" s="9" t="s">
        <v>73</v>
      </c>
    </row>
    <row r="5" spans="1:30" x14ac:dyDescent="0.25">
      <c r="A5" s="8">
        <f>IFERROR(IF(tblInputSheet[[#This Row],[Link]] = "", "", tblInputSheet[[#This Row],[Link]]), "")</f>
        <v>2</v>
      </c>
      <c r="B5" s="9">
        <f>IFERROR(IF(tblInputSheet[[#This Row],[Level]] = "", "", tblInputSheet[[#This Row],[Level]]), "")</f>
        <v>2</v>
      </c>
      <c r="C5" s="9">
        <f>IFERROR(IF(tblInputSheet[[#This Row],[Sl.No]] = "", "", tblInputSheet[[#This Row],[Sl.No]]), "")</f>
        <v>3</v>
      </c>
      <c r="D5" s="9" t="str">
        <f>IFERROR(IF(tblInputSheet[[#This Row],[Group]] = "", "", tblInputSheet[[#This Row],[Group]]), "")</f>
        <v>Eligibility</v>
      </c>
      <c r="E5" s="9" t="str">
        <f>IFERROR(IF(tblInputSheet[[#This Row],[Process]] = "", "", REPT("*",Display!$B5)&amp;""&amp;tblInputSheet[[#This Row],[Process]]), "")</f>
        <v>**Eligibility</v>
      </c>
      <c r="F5" s="9" t="str">
        <f>IFERROR(IF(tblInputSheet[[#This Row],[Hosted Platform]] = "", "", tblInputSheet[[#This Row],[Hosted Platform]]), "")</f>
        <v>Business Process</v>
      </c>
      <c r="G5" s="9" t="str">
        <f>IFERROR(IF(tblInputSheet[[#This Row],[Provider]] = "-", "", tblInputSheet[[#This Row],[Provider]]), "")</f>
        <v>NA</v>
      </c>
      <c r="H5" s="9" t="str">
        <f>IFERROR(IF(tblInputSheet[[#This Row],[Consumer]] = "-", "", tblInputSheet[[#This Row],[Consumer]]), "")</f>
        <v>NA</v>
      </c>
      <c r="I5" s="9" t="str">
        <f>IFERROR(IF(tblInputSheet[[#This Row],[Integration Pattern]] = "-", "", tblInputSheet[[#This Row],[Integration Pattern]]), "")</f>
        <v>ESB - MQ Integration</v>
      </c>
      <c r="J5" s="9" t="str">
        <f>IFERROR(IF(tblInputSheet[[#This Row],[Current State]] = "-", "", tblInputSheet[[#This Row],[Current State]]), "")</f>
        <v>Y</v>
      </c>
      <c r="K5" s="9" t="str">
        <f>IFERROR(IF(tblInputSheet[[#This Row],[End State]] = "-", "", tblInputSheet[[#This Row],[End State]]), "")</f>
        <v>Y</v>
      </c>
      <c r="L5" s="9" t="str">
        <f>IFERROR(IF(tblInputSheet[[#This Row],[MVP]] = "-", "", tblInputSheet[[#This Row],[MVP]]), "")</f>
        <v>Y</v>
      </c>
      <c r="M5" s="9" t="str">
        <f>IFERROR(IF(tblInputSheet[[#This Row],[Confidence Factor]] = "-", "", VLOOKUP(tblInputSheet[[#This Row],[Confidence Factor]], tblConfidenceFactor[], 3,FALSE)), "")</f>
        <v>Group</v>
      </c>
      <c r="N5" s="9">
        <f>IFERROR(IF(tblInputSheet[[#This Row],[Count of Invocations]] = "", "", tblInputSheet[[#This Row],[Count of Invocations]]), "")</f>
        <v>1</v>
      </c>
      <c r="O5" s="9">
        <f>IFERROR(IF(tblInputSheet[[#This Row],[DB Calls (ms)]] = "", "", tblInputSheet[[#This Row],[DB Calls (ms)]]), "")</f>
        <v>0</v>
      </c>
      <c r="P5" s="9">
        <f>IFERROR(IF(tblInputSheet[[#This Row],[Logic (ms)]] = "", "", tblInputSheet[[#This Row],[Logic (ms)]]), "")</f>
        <v>0</v>
      </c>
      <c r="Q5" s="9">
        <f>IFERROR(IF(tblInputSheet[[#This Row],[Rules (ms)]] = "", "", tblInputSheet[[#This Row],[Rules (ms)]]), "")</f>
        <v>0</v>
      </c>
      <c r="R5" s="9">
        <f>IFERROR(IF(tblInputSheet[[#This Row],[Latency (ms)]] = "", "", tblInputSheet[[#This Row],[Latency (ms)]]), "")</f>
        <v>0</v>
      </c>
      <c r="S5" s="9">
        <f>IFERROR(SUM(tblDisplaySheet[[#This Row],[DB Calls (ms)]:[Latency (ms)]]), "")</f>
        <v>0</v>
      </c>
      <c r="T5" s="9">
        <f>IFERROR(tblDisplaySheet[[#This Row],[Time of Function / Call]]*tblDisplaySheet[[#This Row],[Count of Invocations]], "")</f>
        <v>0</v>
      </c>
      <c r="U5" s="8">
        <v>202</v>
      </c>
      <c r="V5" s="8">
        <f>IFERROR(IF(tblInputSheet[[#This Row],[Process NFR]] = "", "", tblInputSheet[[#This Row],[Process NFR]]), "")</f>
        <v>0</v>
      </c>
      <c r="W5" s="8">
        <f>tblDisplaySheet[[#This Row],[Process NFR]]*tblDisplaySheet[[#This Row],[Count of Invocations]]</f>
        <v>0</v>
      </c>
      <c r="X5" s="8">
        <v>260</v>
      </c>
      <c r="Y5" s="8">
        <f>tblDisplaySheet[[#This Row],[Total Process Path Length NFR]]-tblDisplaySheet[[#This Row],[Total Process Path Length]]</f>
        <v>58</v>
      </c>
      <c r="Z5" s="8" t="str">
        <f>IF(tblDisplaySheet[[#This Row],[Difference]]&gt;=0, "On Target", "Off Target")</f>
        <v>On Target</v>
      </c>
      <c r="AA5" s="8" t="str">
        <f>IFERROR(IF(tblInputSheet[[#This Row],[Is Leaf ?]] = "-", "", tblInputSheet[[#This Row],[Is Leaf ?]]), "")</f>
        <v>G</v>
      </c>
      <c r="AB5" s="8" t="str">
        <f>IFERROR(IF(tblInputSheet[[#This Row],[Owner]] = "", "", tblInputSheet[[#This Row],[Owner]]), "")</f>
        <v>Alak</v>
      </c>
      <c r="AC5" s="8" t="s">
        <v>73</v>
      </c>
      <c r="AD5" s="9" t="s">
        <v>73</v>
      </c>
    </row>
    <row r="6" spans="1:30" x14ac:dyDescent="0.25">
      <c r="A6" s="8">
        <f>IFERROR(IF(tblInputSheet[[#This Row],[Link]] = "", "", tblInputSheet[[#This Row],[Link]]), "")</f>
        <v>3</v>
      </c>
      <c r="B6" s="9">
        <f>IFERROR(IF(tblInputSheet[[#This Row],[Level]] = "", "", tblInputSheet[[#This Row],[Level]]), "")</f>
        <v>3</v>
      </c>
      <c r="C6" s="9">
        <f>IFERROR(IF(tblInputSheet[[#This Row],[Sl.No]] = "", "", tblInputSheet[[#This Row],[Sl.No]]), "")</f>
        <v>4</v>
      </c>
      <c r="D6" s="9" t="str">
        <f>IFERROR(IF(tblInputSheet[[#This Row],[Group]] = "", "", tblInputSheet[[#This Row],[Group]]), "")</f>
        <v>Eligibility</v>
      </c>
      <c r="E6" s="9" t="str">
        <f>IFERROR(IF(tblInputSheet[[#This Row],[Process]] = "", "", REPT("*",Display!$B6)&amp;""&amp;tblInputSheet[[#This Row],[Process]]), "")</f>
        <v>***Eligibility Mainline</v>
      </c>
      <c r="F6" s="9" t="str">
        <f>IFERROR(IF(tblInputSheet[[#This Row],[Hosted Platform]] = "", "", tblInputSheet[[#This Row],[Hosted Platform]]), "")</f>
        <v>Legacy BC</v>
      </c>
      <c r="G6" s="9" t="str">
        <f>IFERROR(IF(tblInputSheet[[#This Row],[Provider]] = "-", "", tblInputSheet[[#This Row],[Provider]]), "")</f>
        <v>Claims-Legacy</v>
      </c>
      <c r="H6" s="9" t="str">
        <f>IFERROR(IF(tblInputSheet[[#This Row],[Consumer]] = "-", "", tblInputSheet[[#This Row],[Consumer]]), "")</f>
        <v>Claims-Legacy</v>
      </c>
      <c r="I6" s="9" t="str">
        <f>IFERROR(IF(tblInputSheet[[#This Row],[Integration Pattern]] = "-", "", tblInputSheet[[#This Row],[Integration Pattern]]), "")</f>
        <v>BC Internal</v>
      </c>
      <c r="J6" s="9" t="str">
        <f>IFERROR(IF(tblInputSheet[[#This Row],[Current State]] = "-", "", tblInputSheet[[#This Row],[Current State]]), "")</f>
        <v>Y</v>
      </c>
      <c r="K6" s="9" t="str">
        <f>IFERROR(IF(tblInputSheet[[#This Row],[End State]] = "-", "", tblInputSheet[[#This Row],[End State]]), "")</f>
        <v>Y</v>
      </c>
      <c r="L6" s="9" t="str">
        <f>IFERROR(IF(tblInputSheet[[#This Row],[MVP]] = "-", "", tblInputSheet[[#This Row],[MVP]]), "")</f>
        <v>N</v>
      </c>
      <c r="M6" s="9" t="str">
        <f>IFERROR(IF(tblInputSheet[[#This Row],[Confidence Factor]] = "-", "", VLOOKUP(tblInputSheet[[#This Row],[Confidence Factor]], tblConfidenceFactor[], 3,FALSE)), "")</f>
        <v>High</v>
      </c>
      <c r="N6" s="9">
        <f>IFERROR(IF(tblInputSheet[[#This Row],[Count of Invocations]] = "", "", tblInputSheet[[#This Row],[Count of Invocations]]), "")</f>
        <v>1</v>
      </c>
      <c r="O6" s="9">
        <f>IFERROR(IF(tblInputSheet[[#This Row],[DB Calls (ms)]] = "", "", tblInputSheet[[#This Row],[DB Calls (ms)]]), "")</f>
        <v>0</v>
      </c>
      <c r="P6" s="9">
        <f>IFERROR(IF(tblInputSheet[[#This Row],[Logic (ms)]] = "", "", tblInputSheet[[#This Row],[Logic (ms)]]), "")</f>
        <v>10</v>
      </c>
      <c r="Q6" s="9">
        <f>IFERROR(IF(tblInputSheet[[#This Row],[Rules (ms)]] = "", "", tblInputSheet[[#This Row],[Rules (ms)]]), "")</f>
        <v>0</v>
      </c>
      <c r="R6" s="9">
        <f>IFERROR(IF(tblInputSheet[[#This Row],[Latency (ms)]] = "", "", tblInputSheet[[#This Row],[Latency (ms)]]), "")</f>
        <v>0</v>
      </c>
      <c r="S6" s="9">
        <f>IFERROR(SUM(tblDisplaySheet[[#This Row],[DB Calls (ms)]:[Latency (ms)]]), "")</f>
        <v>10</v>
      </c>
      <c r="T6" s="9">
        <f>IFERROR(tblDisplaySheet[[#This Row],[Time of Function / Call]]*tblDisplaySheet[[#This Row],[Count of Invocations]], "")</f>
        <v>10</v>
      </c>
      <c r="U6" s="8">
        <v>202</v>
      </c>
      <c r="V6" s="8">
        <f>IFERROR(IF(tblInputSheet[[#This Row],[Process NFR]] = "", "", tblInputSheet[[#This Row],[Process NFR]]), "")</f>
        <v>20</v>
      </c>
      <c r="W6" s="8">
        <f>tblDisplaySheet[[#This Row],[Process NFR]]*tblDisplaySheet[[#This Row],[Count of Invocations]]</f>
        <v>20</v>
      </c>
      <c r="X6" s="8">
        <v>260</v>
      </c>
      <c r="Y6" s="8">
        <f>tblDisplaySheet[[#This Row],[Total Process Path Length NFR]]-tblDisplaySheet[[#This Row],[Total Process Path Length]]</f>
        <v>58</v>
      </c>
      <c r="Z6" s="8" t="str">
        <f>IF(tblDisplaySheet[[#This Row],[Difference]]&gt;=0, "On Target", "Off Target")</f>
        <v>On Target</v>
      </c>
      <c r="AA6" s="8" t="str">
        <f>IFERROR(IF(tblInputSheet[[#This Row],[Is Leaf ?]] = "-", "", tblInputSheet[[#This Row],[Is Leaf ?]]), "")</f>
        <v>N</v>
      </c>
      <c r="AB6" s="8" t="str">
        <f>IFERROR(IF(tblInputSheet[[#This Row],[Owner]] = "", "", tblInputSheet[[#This Row],[Owner]]), "")</f>
        <v>Alak</v>
      </c>
      <c r="AC6" s="8" t="s">
        <v>73</v>
      </c>
      <c r="AD6" s="9" t="s">
        <v>73</v>
      </c>
    </row>
    <row r="7" spans="1:30" x14ac:dyDescent="0.25">
      <c r="A7" s="8">
        <f>IFERROR(IF(tblInputSheet[[#This Row],[Link]] = "", "", tblInputSheet[[#This Row],[Link]]), "")</f>
        <v>4</v>
      </c>
      <c r="B7" s="9">
        <f>IFERROR(IF(tblInputSheet[[#This Row],[Level]] = "", "", tblInputSheet[[#This Row],[Level]]), "")</f>
        <v>4</v>
      </c>
      <c r="C7" s="9">
        <f>IFERROR(IF(tblInputSheet[[#This Row],[Sl.No]] = "", "", tblInputSheet[[#This Row],[Sl.No]]), "")</f>
        <v>5</v>
      </c>
      <c r="D7" s="9" t="str">
        <f>IFERROR(IF(tblInputSheet[[#This Row],[Group]] = "", "", tblInputSheet[[#This Row],[Group]]), "")</f>
        <v>Eligibility</v>
      </c>
      <c r="E7" s="9" t="str">
        <f>IFERROR(IF(tblInputSheet[[#This Row],[Process]] = "", "", REPT("*",Display!$B7)&amp;""&amp;tblInputSheet[[#This Row],[Process]]), "")</f>
        <v>****Mule Eligibility Adapter</v>
      </c>
      <c r="F7" s="9" t="str">
        <f>IFERROR(IF(tblInputSheet[[#This Row],[Hosted Platform]] = "", "", tblInputSheet[[#This Row],[Hosted Platform]]), "")</f>
        <v>Mule ESB</v>
      </c>
      <c r="G7" s="9" t="str">
        <f>IFERROR(IF(tblInputSheet[[#This Row],[Provider]] = "-", "", tblInputSheet[[#This Row],[Provider]]), "")</f>
        <v>Key-Claims Adjudication</v>
      </c>
      <c r="H7" s="9" t="str">
        <f>IFERROR(IF(tblInputSheet[[#This Row],[Consumer]] = "-", "", tblInputSheet[[#This Row],[Consumer]]), "")</f>
        <v>Key-Claims Adjudication</v>
      </c>
      <c r="I7" s="9" t="str">
        <f>IFERROR(IF(tblInputSheet[[#This Row],[Integration Pattern]] = "-", "", tblInputSheet[[#This Row],[Integration Pattern]]), "")</f>
        <v>ESB - MQ Integration</v>
      </c>
      <c r="J7" s="9" t="str">
        <f>IFERROR(IF(tblInputSheet[[#This Row],[Current State]] = "-", "", tblInputSheet[[#This Row],[Current State]]), "")</f>
        <v>Y</v>
      </c>
      <c r="K7" s="9" t="str">
        <f>IFERROR(IF(tblInputSheet[[#This Row],[End State]] = "-", "", tblInputSheet[[#This Row],[End State]]), "")</f>
        <v>N</v>
      </c>
      <c r="L7" s="9" t="str">
        <f>IFERROR(IF(tblInputSheet[[#This Row],[MVP]] = "-", "", tblInputSheet[[#This Row],[MVP]]), "")</f>
        <v>Y</v>
      </c>
      <c r="M7" s="9" t="str">
        <f>IFERROR(IF(tblInputSheet[[#This Row],[Confidence Factor]] = "-", "", VLOOKUP(tblInputSheet[[#This Row],[Confidence Factor]], tblConfidenceFactor[], 3,FALSE)), "")</f>
        <v>High</v>
      </c>
      <c r="N7" s="9">
        <f>IFERROR(IF(tblInputSheet[[#This Row],[Count of Invocations]] = "", "", tblInputSheet[[#This Row],[Count of Invocations]]), "")</f>
        <v>1</v>
      </c>
      <c r="O7" s="9">
        <f>IFERROR(IF(tblInputSheet[[#This Row],[DB Calls (ms)]] = "", "", tblInputSheet[[#This Row],[DB Calls (ms)]]), "")</f>
        <v>0</v>
      </c>
      <c r="P7" s="9">
        <f>IFERROR(IF(tblInputSheet[[#This Row],[Logic (ms)]] = "", "", tblInputSheet[[#This Row],[Logic (ms)]]), "")</f>
        <v>16</v>
      </c>
      <c r="Q7" s="9">
        <f>IFERROR(IF(tblInputSheet[[#This Row],[Rules (ms)]] = "", "", tblInputSheet[[#This Row],[Rules (ms)]]), "")</f>
        <v>0</v>
      </c>
      <c r="R7" s="9">
        <f>IFERROR(IF(tblInputSheet[[#This Row],[Latency (ms)]] = "", "", tblInputSheet[[#This Row],[Latency (ms)]]), "")</f>
        <v>15</v>
      </c>
      <c r="S7" s="9">
        <f>IFERROR(SUM(tblDisplaySheet[[#This Row],[DB Calls (ms)]:[Latency (ms)]]), "")</f>
        <v>31</v>
      </c>
      <c r="T7" s="9">
        <f>IFERROR(tblDisplaySheet[[#This Row],[Time of Function / Call]]*tblDisplaySheet[[#This Row],[Count of Invocations]], "")</f>
        <v>31</v>
      </c>
      <c r="U7" s="8">
        <v>192</v>
      </c>
      <c r="V7" s="8">
        <f>IFERROR(IF(tblInputSheet[[#This Row],[Process NFR]] = "", "", tblInputSheet[[#This Row],[Process NFR]]), "")</f>
        <v>40</v>
      </c>
      <c r="W7" s="8">
        <f>tblDisplaySheet[[#This Row],[Process NFR]]*tblDisplaySheet[[#This Row],[Count of Invocations]]</f>
        <v>40</v>
      </c>
      <c r="X7" s="8">
        <v>240</v>
      </c>
      <c r="Y7" s="8">
        <f>tblDisplaySheet[[#This Row],[Total Process Path Length NFR]]-tblDisplaySheet[[#This Row],[Total Process Path Length]]</f>
        <v>48</v>
      </c>
      <c r="Z7" s="8" t="str">
        <f>IF(tblDisplaySheet[[#This Row],[Difference]]&gt;=0, "On Target", "Off Target")</f>
        <v>On Target</v>
      </c>
      <c r="AA7" s="8" t="str">
        <f>IFERROR(IF(tblInputSheet[[#This Row],[Is Leaf ?]] = "-", "", tblInputSheet[[#This Row],[Is Leaf ?]]), "")</f>
        <v>N</v>
      </c>
      <c r="AB7" s="8" t="str">
        <f>IFERROR(IF(tblInputSheet[[#This Row],[Owner]] = "", "", tblInputSheet[[#This Row],[Owner]]), "")</f>
        <v>Alak</v>
      </c>
      <c r="AC7" s="8" t="s">
        <v>73</v>
      </c>
      <c r="AD7" s="9" t="s">
        <v>73</v>
      </c>
    </row>
    <row r="8" spans="1:30" x14ac:dyDescent="0.25">
      <c r="A8" s="8">
        <f>IFERROR(IF(tblInputSheet[[#This Row],[Link]] = "", "", tblInputSheet[[#This Row],[Link]]), "")</f>
        <v>5</v>
      </c>
      <c r="B8" s="9">
        <f>IFERROR(IF(tblInputSheet[[#This Row],[Level]] = "", "", tblInputSheet[[#This Row],[Level]]), "")</f>
        <v>5</v>
      </c>
      <c r="C8" s="9">
        <f>IFERROR(IF(tblInputSheet[[#This Row],[Sl.No]] = "", "", tblInputSheet[[#This Row],[Sl.No]]), "")</f>
        <v>6</v>
      </c>
      <c r="D8" s="9" t="str">
        <f>IFERROR(IF(tblInputSheet[[#This Row],[Group]] = "", "", tblInputSheet[[#This Row],[Group]]), "")</f>
        <v>Eligibility</v>
      </c>
      <c r="E8" s="9" t="str">
        <f>IFERROR(IF(tblInputSheet[[#This Row],[Process]] = "", "", REPT("*",Display!$B8)&amp;""&amp;tblInputSheet[[#This Row],[Process]]), "")</f>
        <v>*****Eligibility Orchestrator</v>
      </c>
      <c r="F8" s="9" t="str">
        <f>IFERROR(IF(tblInputSheet[[#This Row],[Hosted Platform]] = "", "", tblInputSheet[[#This Row],[Hosted Platform]]), "")</f>
        <v>PCF</v>
      </c>
      <c r="G8" s="9" t="str">
        <f>IFERROR(IF(tblInputSheet[[#This Row],[Provider]] = "-", "", tblInputSheet[[#This Row],[Provider]]), "")</f>
        <v>Key-Claims Adjudication</v>
      </c>
      <c r="H8" s="9" t="str">
        <f>IFERROR(IF(tblInputSheet[[#This Row],[Consumer]] = "-", "", tblInputSheet[[#This Row],[Consumer]]), "")</f>
        <v>Key-Claims Adjudication</v>
      </c>
      <c r="I8" s="9" t="str">
        <f>IFERROR(IF(tblInputSheet[[#This Row],[Integration Pattern]] = "-", "", tblInputSheet[[#This Row],[Integration Pattern]]), "")</f>
        <v>PCF Internal (C-to-C)</v>
      </c>
      <c r="J8" s="9" t="str">
        <f>IFERROR(IF(tblInputSheet[[#This Row],[Current State]] = "-", "", tblInputSheet[[#This Row],[Current State]]), "")</f>
        <v>Y</v>
      </c>
      <c r="K8" s="9" t="str">
        <f>IFERROR(IF(tblInputSheet[[#This Row],[End State]] = "-", "", tblInputSheet[[#This Row],[End State]]), "")</f>
        <v>Y</v>
      </c>
      <c r="L8" s="9" t="str">
        <f>IFERROR(IF(tblInputSheet[[#This Row],[MVP]] = "-", "", tblInputSheet[[#This Row],[MVP]]), "")</f>
        <v>Y</v>
      </c>
      <c r="M8" s="9" t="str">
        <f>IFERROR(IF(tblInputSheet[[#This Row],[Confidence Factor]] = "-", "", VLOOKUP(tblInputSheet[[#This Row],[Confidence Factor]], tblConfidenceFactor[], 3,FALSE)), "")</f>
        <v>High</v>
      </c>
      <c r="N8" s="9">
        <f>IFERROR(IF(tblInputSheet[[#This Row],[Count of Invocations]] = "", "", tblInputSheet[[#This Row],[Count of Invocations]]), "")</f>
        <v>1</v>
      </c>
      <c r="O8" s="9">
        <f>IFERROR(IF(tblInputSheet[[#This Row],[DB Calls (ms)]] = "", "", tblInputSheet[[#This Row],[DB Calls (ms)]]), "")</f>
        <v>0</v>
      </c>
      <c r="P8" s="9">
        <f>IFERROR(IF(tblInputSheet[[#This Row],[Logic (ms)]] = "", "", tblInputSheet[[#This Row],[Logic (ms)]]), "")</f>
        <v>5</v>
      </c>
      <c r="Q8" s="9">
        <f>IFERROR(IF(tblInputSheet[[#This Row],[Rules (ms)]] = "", "", tblInputSheet[[#This Row],[Rules (ms)]]), "")</f>
        <v>0</v>
      </c>
      <c r="R8" s="9">
        <f>IFERROR(IF(tblInputSheet[[#This Row],[Latency (ms)]] = "", "", tblInputSheet[[#This Row],[Latency (ms)]]), "")</f>
        <v>5</v>
      </c>
      <c r="S8" s="9">
        <f>IFERROR(SUM(tblDisplaySheet[[#This Row],[DB Calls (ms)]:[Latency (ms)]]), "")</f>
        <v>10</v>
      </c>
      <c r="T8" s="9">
        <f>IFERROR(tblDisplaySheet[[#This Row],[Time of Function / Call]]*tblDisplaySheet[[#This Row],[Count of Invocations]], "")</f>
        <v>10</v>
      </c>
      <c r="U8" s="8">
        <v>161</v>
      </c>
      <c r="V8" s="8">
        <f>IFERROR(IF(tblInputSheet[[#This Row],[Process NFR]] = "", "", tblInputSheet[[#This Row],[Process NFR]]), "")</f>
        <v>20</v>
      </c>
      <c r="W8" s="8">
        <f>tblDisplaySheet[[#This Row],[Process NFR]]*tblDisplaySheet[[#This Row],[Count of Invocations]]</f>
        <v>20</v>
      </c>
      <c r="X8" s="8">
        <v>200</v>
      </c>
      <c r="Y8" s="8">
        <f>tblDisplaySheet[[#This Row],[Total Process Path Length NFR]]-tblDisplaySheet[[#This Row],[Total Process Path Length]]</f>
        <v>39</v>
      </c>
      <c r="Z8" s="8" t="str">
        <f>IF(tblDisplaySheet[[#This Row],[Difference]]&gt;=0, "On Target", "Off Target")</f>
        <v>On Target</v>
      </c>
      <c r="AA8" s="8" t="str">
        <f>IFERROR(IF(tblInputSheet[[#This Row],[Is Leaf ?]] = "-", "", tblInputSheet[[#This Row],[Is Leaf ?]]), "")</f>
        <v>N</v>
      </c>
      <c r="AB8" s="8" t="str">
        <f>IFERROR(IF(tblInputSheet[[#This Row],[Owner]] = "", "", tblInputSheet[[#This Row],[Owner]]), "")</f>
        <v>Alak</v>
      </c>
      <c r="AC8" s="8" t="s">
        <v>73</v>
      </c>
      <c r="AD8" s="9" t="s">
        <v>73</v>
      </c>
    </row>
    <row r="9" spans="1:30" x14ac:dyDescent="0.25">
      <c r="A9" s="8">
        <f>IFERROR(IF(tblInputSheet[[#This Row],[Link]] = "", "", tblInputSheet[[#This Row],[Link]]), "")</f>
        <v>6</v>
      </c>
      <c r="B9" s="9">
        <f>IFERROR(IF(tblInputSheet[[#This Row],[Level]] = "", "", tblInputSheet[[#This Row],[Level]]), "")</f>
        <v>6</v>
      </c>
      <c r="C9" s="9">
        <f>IFERROR(IF(tblInputSheet[[#This Row],[Sl.No]] = "", "", tblInputSheet[[#This Row],[Sl.No]]), "")</f>
        <v>7</v>
      </c>
      <c r="D9" s="9" t="str">
        <f>IFERROR(IF(tblInputSheet[[#This Row],[Group]] = "", "", tblInputSheet[[#This Row],[Group]]), "")</f>
        <v>Eligibility</v>
      </c>
      <c r="E9" s="9" t="str">
        <f>IFERROR(IF(tblInputSheet[[#This Row],[Process]] = "", "", REPT("*",Display!$B9)&amp;""&amp;tblInputSheet[[#This Row],[Process]]), "")</f>
        <v>******Member Match &amp; Eligibility Microservice</v>
      </c>
      <c r="F9" s="9" t="str">
        <f>IFERROR(IF(tblInputSheet[[#This Row],[Hosted Platform]] = "", "", tblInputSheet[[#This Row],[Hosted Platform]]), "")</f>
        <v>PCF</v>
      </c>
      <c r="G9" s="9" t="str">
        <f>IFERROR(IF(tblInputSheet[[#This Row],[Provider]] = "-", "", tblInputSheet[[#This Row],[Provider]]), "")</f>
        <v>Key-Claims Adjudication</v>
      </c>
      <c r="H9" s="9" t="str">
        <f>IFERROR(IF(tblInputSheet[[#This Row],[Consumer]] = "-", "", tblInputSheet[[#This Row],[Consumer]]), "")</f>
        <v>Key-Claims Adjudication</v>
      </c>
      <c r="I9" s="9" t="str">
        <f>IFERROR(IF(tblInputSheet[[#This Row],[Integration Pattern]] = "-", "", tblInputSheet[[#This Row],[Integration Pattern]]), "")</f>
        <v>PCF Internal (C-to-C)</v>
      </c>
      <c r="J9" s="9" t="str">
        <f>IFERROR(IF(tblInputSheet[[#This Row],[Current State]] = "-", "", tblInputSheet[[#This Row],[Current State]]), "")</f>
        <v>Y</v>
      </c>
      <c r="K9" s="9" t="str">
        <f>IFERROR(IF(tblInputSheet[[#This Row],[End State]] = "-", "", tblInputSheet[[#This Row],[End State]]), "")</f>
        <v>Y</v>
      </c>
      <c r="L9" s="9" t="str">
        <f>IFERROR(IF(tblInputSheet[[#This Row],[MVP]] = "-", "", tblInputSheet[[#This Row],[MVP]]), "")</f>
        <v>Y</v>
      </c>
      <c r="M9" s="9" t="str">
        <f>IFERROR(IF(tblInputSheet[[#This Row],[Confidence Factor]] = "-", "", VLOOKUP(tblInputSheet[[#This Row],[Confidence Factor]], tblConfidenceFactor[], 3,FALSE)), "")</f>
        <v>High</v>
      </c>
      <c r="N9" s="9">
        <f>IFERROR(IF(tblInputSheet[[#This Row],[Count of Invocations]] = "", "", tblInputSheet[[#This Row],[Count of Invocations]]), "")</f>
        <v>1</v>
      </c>
      <c r="O9" s="9">
        <f>IFERROR(IF(tblInputSheet[[#This Row],[DB Calls (ms)]] = "", "", tblInputSheet[[#This Row],[DB Calls (ms)]]), "")</f>
        <v>0</v>
      </c>
      <c r="P9" s="9">
        <f>IFERROR(IF(tblInputSheet[[#This Row],[Logic (ms)]] = "", "", tblInputSheet[[#This Row],[Logic (ms)]]), "")</f>
        <v>20</v>
      </c>
      <c r="Q9" s="9">
        <f>IFERROR(IF(tblInputSheet[[#This Row],[Rules (ms)]] = "", "", tblInputSheet[[#This Row],[Rules (ms)]]), "")</f>
        <v>0</v>
      </c>
      <c r="R9" s="9">
        <f>IFERROR(IF(tblInputSheet[[#This Row],[Latency (ms)]] = "", "", tblInputSheet[[#This Row],[Latency (ms)]]), "")</f>
        <v>5</v>
      </c>
      <c r="S9" s="9">
        <f>IFERROR(SUM(tblDisplaySheet[[#This Row],[DB Calls (ms)]:[Latency (ms)]]), "")</f>
        <v>25</v>
      </c>
      <c r="T9" s="9">
        <f>IFERROR(tblDisplaySheet[[#This Row],[Time of Function / Call]]*tblDisplaySheet[[#This Row],[Count of Invocations]], "")</f>
        <v>25</v>
      </c>
      <c r="U9" s="8">
        <v>94</v>
      </c>
      <c r="V9" s="8">
        <f>IFERROR(IF(tblInputSheet[[#This Row],[Process NFR]] = "", "", tblInputSheet[[#This Row],[Process NFR]]), "")</f>
        <v>25</v>
      </c>
      <c r="W9" s="8">
        <f>tblDisplaySheet[[#This Row],[Process NFR]]*tblDisplaySheet[[#This Row],[Count of Invocations]]</f>
        <v>25</v>
      </c>
      <c r="X9" s="8">
        <v>105</v>
      </c>
      <c r="Y9" s="8">
        <f>tblDisplaySheet[[#This Row],[Total Process Path Length NFR]]-tblDisplaySheet[[#This Row],[Total Process Path Length]]</f>
        <v>11</v>
      </c>
      <c r="Z9" s="8" t="str">
        <f>IF(tblDisplaySheet[[#This Row],[Difference]]&gt;=0, "On Target", "Off Target")</f>
        <v>On Target</v>
      </c>
      <c r="AA9" s="8" t="str">
        <f>IFERROR(IF(tblInputSheet[[#This Row],[Is Leaf ?]] = "-", "", tblInputSheet[[#This Row],[Is Leaf ?]]), "")</f>
        <v>N</v>
      </c>
      <c r="AB9" s="8" t="str">
        <f>IFERROR(IF(tblInputSheet[[#This Row],[Owner]] = "", "", tblInputSheet[[#This Row],[Owner]]), "")</f>
        <v>Alak</v>
      </c>
      <c r="AC9" s="8" t="s">
        <v>20</v>
      </c>
      <c r="AD9" s="9" t="s">
        <v>20</v>
      </c>
    </row>
    <row r="10" spans="1:30" x14ac:dyDescent="0.25">
      <c r="A10" s="8">
        <f>IFERROR(IF(tblInputSheet[[#This Row],[Link]] = "", "", tblInputSheet[[#This Row],[Link]]), "")</f>
        <v>7</v>
      </c>
      <c r="B10" s="9">
        <f>IFERROR(IF(tblInputSheet[[#This Row],[Level]] = "", "", tblInputSheet[[#This Row],[Level]]), "")</f>
        <v>7</v>
      </c>
      <c r="C10" s="9">
        <f>IFERROR(IF(tblInputSheet[[#This Row],[Sl.No]] = "", "", tblInputSheet[[#This Row],[Sl.No]]), "")</f>
        <v>8</v>
      </c>
      <c r="D10" s="9" t="str">
        <f>IFERROR(IF(tblInputSheet[[#This Row],[Group]] = "", "", tblInputSheet[[#This Row],[Group]]), "")</f>
        <v>Eligibility</v>
      </c>
      <c r="E10" s="9" t="str">
        <f>IFERROR(IF(tblInputSheet[[#This Row],[Process]] = "", "", REPT("*",Display!$B10)&amp;""&amp;tblInputSheet[[#This Row],[Process]]), "")</f>
        <v>*******Reference Lookup Microservice</v>
      </c>
      <c r="F10" s="9" t="str">
        <f>IFERROR(IF(tblInputSheet[[#This Row],[Hosted Platform]] = "", "", tblInputSheet[[#This Row],[Hosted Platform]]), "")</f>
        <v>PCF</v>
      </c>
      <c r="G10" s="9" t="str">
        <f>IFERROR(IF(tblInputSheet[[#This Row],[Provider]] = "-", "", tblInputSheet[[#This Row],[Provider]]), "")</f>
        <v>Key-Claims Adjudication</v>
      </c>
      <c r="H10" s="9" t="str">
        <f>IFERROR(IF(tblInputSheet[[#This Row],[Consumer]] = "-", "", tblInputSheet[[#This Row],[Consumer]]), "")</f>
        <v>Key-Claims Adjudication</v>
      </c>
      <c r="I10" s="9" t="str">
        <f>IFERROR(IF(tblInputSheet[[#This Row],[Integration Pattern]] = "-", "", tblInputSheet[[#This Row],[Integration Pattern]]), "")</f>
        <v>PCF Internal (C-to-C)</v>
      </c>
      <c r="J10" s="9" t="str">
        <f>IFERROR(IF(tblInputSheet[[#This Row],[Current State]] = "-", "", tblInputSheet[[#This Row],[Current State]]), "")</f>
        <v>Y</v>
      </c>
      <c r="K10" s="9" t="str">
        <f>IFERROR(IF(tblInputSheet[[#This Row],[End State]] = "-", "", tblInputSheet[[#This Row],[End State]]), "")</f>
        <v>Y</v>
      </c>
      <c r="L10" s="9" t="str">
        <f>IFERROR(IF(tblInputSheet[[#This Row],[MVP]] = "-", "", tblInputSheet[[#This Row],[MVP]]), "")</f>
        <v>Y</v>
      </c>
      <c r="M10" s="9" t="str">
        <f>IFERROR(IF(tblInputSheet[[#This Row],[Confidence Factor]] = "-", "", VLOOKUP(tblInputSheet[[#This Row],[Confidence Factor]], tblConfidenceFactor[], 3,FALSE)), "")</f>
        <v>Medium</v>
      </c>
      <c r="N10" s="9">
        <f>IFERROR(IF(tblInputSheet[[#This Row],[Count of Invocations]] = "", "", tblInputSheet[[#This Row],[Count of Invocations]]), "")</f>
        <v>1</v>
      </c>
      <c r="O10" s="9">
        <f>IFERROR(IF(tblInputSheet[[#This Row],[DB Calls (ms)]] = "", "", tblInputSheet[[#This Row],[DB Calls (ms)]]), "")</f>
        <v>0</v>
      </c>
      <c r="P10" s="9">
        <f>IFERROR(IF(tblInputSheet[[#This Row],[Logic (ms)]] = "", "", tblInputSheet[[#This Row],[Logic (ms)]]), "")</f>
        <v>1</v>
      </c>
      <c r="Q10" s="9">
        <f>IFERROR(IF(tblInputSheet[[#This Row],[Rules (ms)]] = "", "", tblInputSheet[[#This Row],[Rules (ms)]]), "")</f>
        <v>0</v>
      </c>
      <c r="R10" s="9">
        <f>IFERROR(IF(tblInputSheet[[#This Row],[Latency (ms)]] = "", "", tblInputSheet[[#This Row],[Latency (ms)]]), "")</f>
        <v>5</v>
      </c>
      <c r="S10" s="9">
        <f>IFERROR(SUM(tblDisplaySheet[[#This Row],[DB Calls (ms)]:[Latency (ms)]]), "")</f>
        <v>6</v>
      </c>
      <c r="T10" s="9">
        <f>IFERROR(tblDisplaySheet[[#This Row],[Time of Function / Call]]*tblDisplaySheet[[#This Row],[Count of Invocations]], "")</f>
        <v>6</v>
      </c>
      <c r="U10" s="8">
        <v>6</v>
      </c>
      <c r="V10" s="8">
        <f>IFERROR(IF(tblInputSheet[[#This Row],[Process NFR]] = "", "", tblInputSheet[[#This Row],[Process NFR]]), "")</f>
        <v>10</v>
      </c>
      <c r="W10" s="8">
        <f>tblDisplaySheet[[#This Row],[Process NFR]]*tblDisplaySheet[[#This Row],[Count of Invocations]]</f>
        <v>10</v>
      </c>
      <c r="X10" s="8">
        <v>10</v>
      </c>
      <c r="Y10" s="8">
        <f>tblDisplaySheet[[#This Row],[Total Process Path Length NFR]]-tblDisplaySheet[[#This Row],[Total Process Path Length]]</f>
        <v>4</v>
      </c>
      <c r="Z10" s="8" t="str">
        <f>IF(tblDisplaySheet[[#This Row],[Difference]]&gt;=0, "On Target", "Off Target")</f>
        <v>On Target</v>
      </c>
      <c r="AA10" s="8" t="str">
        <f>IFERROR(IF(tblInputSheet[[#This Row],[Is Leaf ?]] = "-", "", tblInputSheet[[#This Row],[Is Leaf ?]]), "")</f>
        <v>Y</v>
      </c>
      <c r="AB10" s="8" t="str">
        <f>IFERROR(IF(tblInputSheet[[#This Row],[Owner]] = "", "", tblInputSheet[[#This Row],[Owner]]), "")</f>
        <v>Alak</v>
      </c>
      <c r="AC10" s="8" t="s">
        <v>20</v>
      </c>
      <c r="AD10" s="9" t="s">
        <v>20</v>
      </c>
    </row>
    <row r="11" spans="1:30" x14ac:dyDescent="0.25">
      <c r="A11" s="8">
        <f>IFERROR(IF(tblInputSheet[[#This Row],[Link]] = "", "", tblInputSheet[[#This Row],[Link]]), "")</f>
        <v>7</v>
      </c>
      <c r="B11" s="9">
        <f>IFERROR(IF(tblInputSheet[[#This Row],[Level]] = "", "", tblInputSheet[[#This Row],[Level]]), "")</f>
        <v>7</v>
      </c>
      <c r="C11" s="9">
        <f>IFERROR(IF(tblInputSheet[[#This Row],[Sl.No]] = "", "", tblInputSheet[[#This Row],[Sl.No]]), "")</f>
        <v>9</v>
      </c>
      <c r="D11" s="9" t="str">
        <f>IFERROR(IF(tblInputSheet[[#This Row],[Group]] = "", "", tblInputSheet[[#This Row],[Group]]), "")</f>
        <v>Eligibility</v>
      </c>
      <c r="E11" s="9" t="str">
        <f>IFERROR(IF(tblInputSheet[[#This Row],[Process]] = "", "", REPT("*",Display!$B11)&amp;""&amp;tblInputSheet[[#This Row],[Process]]), "")</f>
        <v>*******Contract API</v>
      </c>
      <c r="F11" s="9" t="str">
        <f>IFERROR(IF(tblInputSheet[[#This Row],[Hosted Platform]] = "", "", tblInputSheet[[#This Row],[Hosted Platform]]), "")</f>
        <v>PCF</v>
      </c>
      <c r="G11" s="9" t="str">
        <f>IFERROR(IF(tblInputSheet[[#This Row],[Provider]] = "-", "", tblInputSheet[[#This Row],[Provider]]), "")</f>
        <v>Key-Claims Adjudication</v>
      </c>
      <c r="H11" s="9" t="str">
        <f>IFERROR(IF(tblInputSheet[[#This Row],[Consumer]] = "-", "", tblInputSheet[[#This Row],[Consumer]]), "")</f>
        <v>Key-Claims Adjudication</v>
      </c>
      <c r="I11" s="9" t="str">
        <f>IFERROR(IF(tblInputSheet[[#This Row],[Integration Pattern]] = "-", "", tblInputSheet[[#This Row],[Integration Pattern]]), "")</f>
        <v>PCF Internal (C-to-C)</v>
      </c>
      <c r="J11" s="9" t="str">
        <f>IFERROR(IF(tblInputSheet[[#This Row],[Current State]] = "-", "", tblInputSheet[[#This Row],[Current State]]), "")</f>
        <v>Y</v>
      </c>
      <c r="K11" s="9" t="str">
        <f>IFERROR(IF(tblInputSheet[[#This Row],[End State]] = "-", "", tblInputSheet[[#This Row],[End State]]), "")</f>
        <v>Y</v>
      </c>
      <c r="L11" s="9" t="str">
        <f>IFERROR(IF(tblInputSheet[[#This Row],[MVP]] = "-", "", tblInputSheet[[#This Row],[MVP]]), "")</f>
        <v>Y</v>
      </c>
      <c r="M11" s="9" t="str">
        <f>IFERROR(IF(tblInputSheet[[#This Row],[Confidence Factor]] = "-", "", VLOOKUP(tblInputSheet[[#This Row],[Confidence Factor]], tblConfidenceFactor[], 3,FALSE)), "")</f>
        <v>Medium</v>
      </c>
      <c r="N11" s="9">
        <f>IFERROR(IF(tblInputSheet[[#This Row],[Count of Invocations]] = "", "", tblInputSheet[[#This Row],[Count of Invocations]]), "")</f>
        <v>1</v>
      </c>
      <c r="O11" s="9">
        <f>IFERROR(IF(tblInputSheet[[#This Row],[DB Calls (ms)]] = "", "", tblInputSheet[[#This Row],[DB Calls (ms)]]), "")</f>
        <v>5</v>
      </c>
      <c r="P11" s="9">
        <f>IFERROR(IF(tblInputSheet[[#This Row],[Logic (ms)]] = "", "", tblInputSheet[[#This Row],[Logic (ms)]]), "")</f>
        <v>30</v>
      </c>
      <c r="Q11" s="9">
        <f>IFERROR(IF(tblInputSheet[[#This Row],[Rules (ms)]] = "", "", tblInputSheet[[#This Row],[Rules (ms)]]), "")</f>
        <v>0</v>
      </c>
      <c r="R11" s="9">
        <f>IFERROR(IF(tblInputSheet[[#This Row],[Latency (ms)]] = "", "", tblInputSheet[[#This Row],[Latency (ms)]]), "")</f>
        <v>10</v>
      </c>
      <c r="S11" s="9">
        <f>IFERROR(SUM(tblDisplaySheet[[#This Row],[DB Calls (ms)]:[Latency (ms)]]), "")</f>
        <v>45</v>
      </c>
      <c r="T11" s="9">
        <f>IFERROR(tblDisplaySheet[[#This Row],[Time of Function / Call]]*tblDisplaySheet[[#This Row],[Count of Invocations]], "")</f>
        <v>45</v>
      </c>
      <c r="U11" s="8">
        <v>45</v>
      </c>
      <c r="V11" s="8">
        <f>IFERROR(IF(tblInputSheet[[#This Row],[Process NFR]] = "", "", tblInputSheet[[#This Row],[Process NFR]]), "")</f>
        <v>50</v>
      </c>
      <c r="W11" s="8">
        <f>tblDisplaySheet[[#This Row],[Process NFR]]*tblDisplaySheet[[#This Row],[Count of Invocations]]</f>
        <v>50</v>
      </c>
      <c r="X11" s="8">
        <v>50</v>
      </c>
      <c r="Y11" s="8">
        <f>tblDisplaySheet[[#This Row],[Total Process Path Length NFR]]-tblDisplaySheet[[#This Row],[Total Process Path Length]]</f>
        <v>5</v>
      </c>
      <c r="Z11" s="8" t="str">
        <f>IF(tblDisplaySheet[[#This Row],[Difference]]&gt;=0, "On Target", "Off Target")</f>
        <v>On Target</v>
      </c>
      <c r="AA11" s="8" t="str">
        <f>IFERROR(IF(tblInputSheet[[#This Row],[Is Leaf ?]] = "-", "", tblInputSheet[[#This Row],[Is Leaf ?]]), "")</f>
        <v>Y</v>
      </c>
      <c r="AB11" s="8" t="str">
        <f>IFERROR(IF(tblInputSheet[[#This Row],[Owner]] = "", "", tblInputSheet[[#This Row],[Owner]]), "")</f>
        <v>Greg</v>
      </c>
      <c r="AC11" s="8" t="s">
        <v>20</v>
      </c>
      <c r="AD11" s="9" t="s">
        <v>20</v>
      </c>
    </row>
    <row r="12" spans="1:30" x14ac:dyDescent="0.25">
      <c r="A12" s="8">
        <f>IFERROR(IF(tblInputSheet[[#This Row],[Link]] = "", "", tblInputSheet[[#This Row],[Link]]), "")</f>
        <v>7</v>
      </c>
      <c r="B12" s="9">
        <f>IFERROR(IF(tblInputSheet[[#This Row],[Level]] = "", "", tblInputSheet[[#This Row],[Level]]), "")</f>
        <v>7</v>
      </c>
      <c r="C12" s="9">
        <f>IFERROR(IF(tblInputSheet[[#This Row],[Sl.No]] = "", "", tblInputSheet[[#This Row],[Sl.No]]), "")</f>
        <v>10</v>
      </c>
      <c r="D12" s="9" t="str">
        <f>IFERROR(IF(tblInputSheet[[#This Row],[Group]] = "", "", tblInputSheet[[#This Row],[Group]]), "")</f>
        <v>Eligibility</v>
      </c>
      <c r="E12" s="9" t="str">
        <f>IFERROR(IF(tblInputSheet[[#This Row],[Process]] = "", "", REPT("*",Display!$B12)&amp;""&amp;tblInputSheet[[#This Row],[Process]]), "")</f>
        <v>*******Claim Member Microservice</v>
      </c>
      <c r="F12" s="9" t="str">
        <f>IFERROR(IF(tblInputSheet[[#This Row],[Hosted Platform]] = "", "", tblInputSheet[[#This Row],[Hosted Platform]]), "")</f>
        <v>PCF</v>
      </c>
      <c r="G12" s="9" t="str">
        <f>IFERROR(IF(tblInputSheet[[#This Row],[Provider]] = "-", "", tblInputSheet[[#This Row],[Provider]]), "")</f>
        <v>Key-Claims Adjudication</v>
      </c>
      <c r="H12" s="9" t="str">
        <f>IFERROR(IF(tblInputSheet[[#This Row],[Consumer]] = "-", "", tblInputSheet[[#This Row],[Consumer]]), "")</f>
        <v>Key-Claims Adjudication</v>
      </c>
      <c r="I12" s="9" t="str">
        <f>IFERROR(IF(tblInputSheet[[#This Row],[Integration Pattern]] = "-", "", tblInputSheet[[#This Row],[Integration Pattern]]), "")</f>
        <v>PCF Internal (C-to-C)</v>
      </c>
      <c r="J12" s="9" t="str">
        <f>IFERROR(IF(tblInputSheet[[#This Row],[Current State]] = "-", "", tblInputSheet[[#This Row],[Current State]]), "")</f>
        <v>Y</v>
      </c>
      <c r="K12" s="9" t="str">
        <f>IFERROR(IF(tblInputSheet[[#This Row],[End State]] = "-", "", tblInputSheet[[#This Row],[End State]]), "")</f>
        <v>Y</v>
      </c>
      <c r="L12" s="9" t="str">
        <f>IFERROR(IF(tblInputSheet[[#This Row],[MVP]] = "-", "", tblInputSheet[[#This Row],[MVP]]), "")</f>
        <v>Y</v>
      </c>
      <c r="M12" s="9" t="str">
        <f>IFERROR(IF(tblInputSheet[[#This Row],[Confidence Factor]] = "-", "", VLOOKUP(tblInputSheet[[#This Row],[Confidence Factor]], tblConfidenceFactor[], 3,FALSE)), "")</f>
        <v>High</v>
      </c>
      <c r="N12" s="9">
        <f>IFERROR(IF(tblInputSheet[[#This Row],[Count of Invocations]] = "", "", tblInputSheet[[#This Row],[Count of Invocations]]), "")</f>
        <v>1</v>
      </c>
      <c r="O12" s="9">
        <f>IFERROR(IF(tblInputSheet[[#This Row],[DB Calls (ms)]] = "", "", tblInputSheet[[#This Row],[DB Calls (ms)]]), "")</f>
        <v>1</v>
      </c>
      <c r="P12" s="9">
        <f>IFERROR(IF(tblInputSheet[[#This Row],[Logic (ms)]] = "", "", tblInputSheet[[#This Row],[Logic (ms)]]), "")</f>
        <v>12</v>
      </c>
      <c r="Q12" s="9">
        <f>IFERROR(IF(tblInputSheet[[#This Row],[Rules (ms)]] = "", "", tblInputSheet[[#This Row],[Rules (ms)]]), "")</f>
        <v>0</v>
      </c>
      <c r="R12" s="9">
        <f>IFERROR(IF(tblInputSheet[[#This Row],[Latency (ms)]] = "", "", tblInputSheet[[#This Row],[Latency (ms)]]), "")</f>
        <v>5</v>
      </c>
      <c r="S12" s="9">
        <f>IFERROR(SUM(tblDisplaySheet[[#This Row],[DB Calls (ms)]:[Latency (ms)]]), "")</f>
        <v>18</v>
      </c>
      <c r="T12" s="9">
        <f>IFERROR(tblDisplaySheet[[#This Row],[Time of Function / Call]]*tblDisplaySheet[[#This Row],[Count of Invocations]], "")</f>
        <v>18</v>
      </c>
      <c r="U12" s="8">
        <v>18</v>
      </c>
      <c r="V12" s="8">
        <f>IFERROR(IF(tblInputSheet[[#This Row],[Process NFR]] = "", "", tblInputSheet[[#This Row],[Process NFR]]), "")</f>
        <v>20</v>
      </c>
      <c r="W12" s="8">
        <f>tblDisplaySheet[[#This Row],[Process NFR]]*tblDisplaySheet[[#This Row],[Count of Invocations]]</f>
        <v>20</v>
      </c>
      <c r="X12" s="8">
        <v>20</v>
      </c>
      <c r="Y12" s="8">
        <f>tblDisplaySheet[[#This Row],[Total Process Path Length NFR]]-tblDisplaySheet[[#This Row],[Total Process Path Length]]</f>
        <v>2</v>
      </c>
      <c r="Z12" s="8" t="str">
        <f>IF(tblDisplaySheet[[#This Row],[Difference]]&gt;=0, "On Target", "Off Target")</f>
        <v>On Target</v>
      </c>
      <c r="AA12" s="8" t="str">
        <f>IFERROR(IF(tblInputSheet[[#This Row],[Is Leaf ?]] = "-", "", tblInputSheet[[#This Row],[Is Leaf ?]]), "")</f>
        <v>Y</v>
      </c>
      <c r="AB12" s="8" t="str">
        <f>IFERROR(IF(tblInputSheet[[#This Row],[Owner]] = "", "", tblInputSheet[[#This Row],[Owner]]), "")</f>
        <v>Alak</v>
      </c>
      <c r="AC12" s="8" t="s">
        <v>20</v>
      </c>
      <c r="AD12" s="9" t="s">
        <v>20</v>
      </c>
    </row>
    <row r="13" spans="1:30" ht="21" customHeight="1" x14ac:dyDescent="0.25">
      <c r="A13" s="8">
        <f>IFERROR(IF(tblInputSheet[[#This Row],[Link]] = "", "", tblInputSheet[[#This Row],[Link]]), "")</f>
        <v>7</v>
      </c>
      <c r="B13" s="9">
        <f>IFERROR(IF(tblInputSheet[[#This Row],[Level]] = "", "", tblInputSheet[[#This Row],[Level]]), "")</f>
        <v>7</v>
      </c>
      <c r="C13" s="9">
        <f>IFERROR(IF(tblInputSheet[[#This Row],[Sl.No]] = "", "", tblInputSheet[[#This Row],[Sl.No]]), "")</f>
        <v>11</v>
      </c>
      <c r="D13" s="9" t="str">
        <f>IFERROR(IF(tblInputSheet[[#This Row],[Group]] = "", "", tblInputSheet[[#This Row],[Group]]), "")</f>
        <v>Eligibility</v>
      </c>
      <c r="E13" s="9" t="str">
        <f>IFERROR(IF(tblInputSheet[[#This Row],[Process]] = "", "", REPT("*",Display!$B13)&amp;""&amp;tblInputSheet[[#This Row],[Process]]), "")</f>
        <v xml:space="preserve">*******New Born Update </v>
      </c>
      <c r="F13" s="9" t="str">
        <f>IFERROR(IF(tblInputSheet[[#This Row],[Hosted Platform]] = "", "", tblInputSheet[[#This Row],[Hosted Platform]]), "")</f>
        <v>PCF</v>
      </c>
      <c r="G13" s="9" t="str">
        <f>IFERROR(IF(tblInputSheet[[#This Row],[Provider]] = "-", "", tblInputSheet[[#This Row],[Provider]]), "")</f>
        <v>Key-Claims Adjudication</v>
      </c>
      <c r="H13" s="9" t="str">
        <f>IFERROR(IF(tblInputSheet[[#This Row],[Consumer]] = "-", "", tblInputSheet[[#This Row],[Consumer]]), "")</f>
        <v>Key-Claims Adjudication</v>
      </c>
      <c r="I13" s="9" t="str">
        <f>IFERROR(IF(tblInputSheet[[#This Row],[Integration Pattern]] = "-", "", tblInputSheet[[#This Row],[Integration Pattern]]), "")</f>
        <v xml:space="preserve">REST Service - MQ </v>
      </c>
      <c r="J13" s="9" t="str">
        <f>IFERROR(IF(tblInputSheet[[#This Row],[Current State]] = "-", "", tblInputSheet[[#This Row],[Current State]]), "")</f>
        <v>Y</v>
      </c>
      <c r="K13" s="9" t="str">
        <f>IFERROR(IF(tblInputSheet[[#This Row],[End State]] = "-", "", tblInputSheet[[#This Row],[End State]]), "")</f>
        <v>N</v>
      </c>
      <c r="L13" s="9" t="str">
        <f>IFERROR(IF(tblInputSheet[[#This Row],[MVP]] = "-", "", tblInputSheet[[#This Row],[MVP]]), "")</f>
        <v>Y</v>
      </c>
      <c r="M13" s="9" t="str">
        <f>IFERROR(IF(tblInputSheet[[#This Row],[Confidence Factor]] = "-", "", VLOOKUP(tblInputSheet[[#This Row],[Confidence Factor]], tblConfidenceFactor[], 3,FALSE)), "")</f>
        <v>High</v>
      </c>
      <c r="N13" s="9">
        <f>IFERROR(IF(tblInputSheet[[#This Row],[Count of Invocations]] = "", "", tblInputSheet[[#This Row],[Count of Invocations]]), "")</f>
        <v>0</v>
      </c>
      <c r="O13" s="9">
        <f>IFERROR(IF(tblInputSheet[[#This Row],[DB Calls (ms)]] = "", "", tblInputSheet[[#This Row],[DB Calls (ms)]]), "")</f>
        <v>0</v>
      </c>
      <c r="P13" s="9">
        <f>IFERROR(IF(tblInputSheet[[#This Row],[Logic (ms)]] = "", "", tblInputSheet[[#This Row],[Logic (ms)]]), "")</f>
        <v>24</v>
      </c>
      <c r="Q13" s="9">
        <f>IFERROR(IF(tblInputSheet[[#This Row],[Rules (ms)]] = "", "", tblInputSheet[[#This Row],[Rules (ms)]]), "")</f>
        <v>0</v>
      </c>
      <c r="R13" s="9">
        <f>IFERROR(IF(tblInputSheet[[#This Row],[Latency (ms)]] = "", "", tblInputSheet[[#This Row],[Latency (ms)]]), "")</f>
        <v>5</v>
      </c>
      <c r="S13" s="9">
        <f>IFERROR(SUM(tblDisplaySheet[[#This Row],[DB Calls (ms)]:[Latency (ms)]]), "")</f>
        <v>29</v>
      </c>
      <c r="T13" s="9">
        <f>IFERROR(tblDisplaySheet[[#This Row],[Time of Function / Call]]*tblDisplaySheet[[#This Row],[Count of Invocations]], "")</f>
        <v>0</v>
      </c>
      <c r="U13" s="8">
        <v>0</v>
      </c>
      <c r="V13" s="8">
        <f>IFERROR(IF(tblInputSheet[[#This Row],[Process NFR]] = "", "", tblInputSheet[[#This Row],[Process NFR]]), "")</f>
        <v>30</v>
      </c>
      <c r="W13" s="8">
        <f>tblDisplaySheet[[#This Row],[Process NFR]]*tblDisplaySheet[[#This Row],[Count of Invocations]]</f>
        <v>0</v>
      </c>
      <c r="X13" s="8">
        <v>0</v>
      </c>
      <c r="Y13" s="8">
        <f>tblDisplaySheet[[#This Row],[Total Process Path Length NFR]]-tblDisplaySheet[[#This Row],[Total Process Path Length]]</f>
        <v>0</v>
      </c>
      <c r="Z13" s="8" t="str">
        <f>IF(tblDisplaySheet[[#This Row],[Difference]]&gt;=0, "On Target", "Off Target")</f>
        <v>On Target</v>
      </c>
      <c r="AA13" s="8" t="str">
        <f>IFERROR(IF(tblInputSheet[[#This Row],[Is Leaf ?]] = "-", "", tblInputSheet[[#This Row],[Is Leaf ?]]), "")</f>
        <v>Y</v>
      </c>
      <c r="AB13" s="8" t="str">
        <f>IFERROR(IF(tblInputSheet[[#This Row],[Owner]] = "", "", tblInputSheet[[#This Row],[Owner]]), "")</f>
        <v>Alak</v>
      </c>
      <c r="AC13" s="8" t="s">
        <v>20</v>
      </c>
      <c r="AD13" s="9" t="s">
        <v>20</v>
      </c>
    </row>
    <row r="14" spans="1:30" x14ac:dyDescent="0.25">
      <c r="A14" s="8">
        <f>IFERROR(IF(tblInputSheet[[#This Row],[Link]] = "", "", tblInputSheet[[#This Row],[Link]]), "")</f>
        <v>6</v>
      </c>
      <c r="B14" s="9">
        <f>IFERROR(IF(tblInputSheet[[#This Row],[Level]] = "", "", tblInputSheet[[#This Row],[Level]]), "")</f>
        <v>6</v>
      </c>
      <c r="C14" s="9">
        <f>IFERROR(IF(tblInputSheet[[#This Row],[Sl.No]] = "", "", tblInputSheet[[#This Row],[Sl.No]]), "")</f>
        <v>12</v>
      </c>
      <c r="D14" s="9" t="str">
        <f>IFERROR(IF(tblInputSheet[[#This Row],[Group]] = "", "", tblInputSheet[[#This Row],[Group]]), "")</f>
        <v>Eligibility</v>
      </c>
      <c r="E14" s="9" t="str">
        <f>IFERROR(IF(tblInputSheet[[#This Row],[Process]] = "", "", REPT("*",Display!$B14)&amp;""&amp;tblInputSheet[[#This Row],[Process]]), "")</f>
        <v>******Provider Match &amp; Eligibility Microservice</v>
      </c>
      <c r="F14" s="9" t="str">
        <f>IFERROR(IF(tblInputSheet[[#This Row],[Hosted Platform]] = "", "", tblInputSheet[[#This Row],[Hosted Platform]]), "")</f>
        <v>PCF</v>
      </c>
      <c r="G14" s="9" t="str">
        <f>IFERROR(IF(tblInputSheet[[#This Row],[Provider]] = "-", "", tblInputSheet[[#This Row],[Provider]]), "")</f>
        <v>Key-Claims Adjudication</v>
      </c>
      <c r="H14" s="9" t="str">
        <f>IFERROR(IF(tblInputSheet[[#This Row],[Consumer]] = "-", "", tblInputSheet[[#This Row],[Consumer]]), "")</f>
        <v>Key-Claims Adjudication</v>
      </c>
      <c r="I14" s="9" t="str">
        <f>IFERROR(IF(tblInputSheet[[#This Row],[Integration Pattern]] = "-", "", tblInputSheet[[#This Row],[Integration Pattern]]), "")</f>
        <v>PCF Internal (C-to-C)</v>
      </c>
      <c r="J14" s="9" t="str">
        <f>IFERROR(IF(tblInputSheet[[#This Row],[Current State]] = "-", "", tblInputSheet[[#This Row],[Current State]]), "")</f>
        <v>Y</v>
      </c>
      <c r="K14" s="9" t="str">
        <f>IFERROR(IF(tblInputSheet[[#This Row],[End State]] = "-", "", tblInputSheet[[#This Row],[End State]]), "")</f>
        <v>Y</v>
      </c>
      <c r="L14" s="9" t="str">
        <f>IFERROR(IF(tblInputSheet[[#This Row],[MVP]] = "-", "", tblInputSheet[[#This Row],[MVP]]), "")</f>
        <v>Y</v>
      </c>
      <c r="M14" s="9" t="str">
        <f>IFERROR(IF(tblInputSheet[[#This Row],[Confidence Factor]] = "-", "", VLOOKUP(tblInputSheet[[#This Row],[Confidence Factor]], tblConfidenceFactor[], 3,FALSE)), "")</f>
        <v>High</v>
      </c>
      <c r="N14" s="9">
        <f>IFERROR(IF(tblInputSheet[[#This Row],[Count of Invocations]] = "", "", tblInputSheet[[#This Row],[Count of Invocations]]), "")</f>
        <v>1</v>
      </c>
      <c r="O14" s="9">
        <f>IFERROR(IF(tblInputSheet[[#This Row],[DB Calls (ms)]] = "", "", tblInputSheet[[#This Row],[DB Calls (ms)]]), "")</f>
        <v>0</v>
      </c>
      <c r="P14" s="9">
        <f>IFERROR(IF(tblInputSheet[[#This Row],[Logic (ms)]] = "", "", tblInputSheet[[#This Row],[Logic (ms)]]), "")</f>
        <v>5</v>
      </c>
      <c r="Q14" s="9">
        <f>IFERROR(IF(tblInputSheet[[#This Row],[Rules (ms)]] = "", "", tblInputSheet[[#This Row],[Rules (ms)]]), "")</f>
        <v>0</v>
      </c>
      <c r="R14" s="9">
        <f>IFERROR(IF(tblInputSheet[[#This Row],[Latency (ms)]] = "", "", tblInputSheet[[#This Row],[Latency (ms)]]), "")</f>
        <v>5</v>
      </c>
      <c r="S14" s="9">
        <f>IFERROR(SUM(tblDisplaySheet[[#This Row],[DB Calls (ms)]:[Latency (ms)]]), "")</f>
        <v>10</v>
      </c>
      <c r="T14" s="9">
        <f>IFERROR(tblDisplaySheet[[#This Row],[Time of Function / Call]]*tblDisplaySheet[[#This Row],[Count of Invocations]], "")</f>
        <v>10</v>
      </c>
      <c r="U14" s="8">
        <v>27</v>
      </c>
      <c r="V14" s="8">
        <f>IFERROR(IF(tblInputSheet[[#This Row],[Process NFR]] = "", "", tblInputSheet[[#This Row],[Process NFR]]), "")</f>
        <v>15</v>
      </c>
      <c r="W14" s="8">
        <f>tblDisplaySheet[[#This Row],[Process NFR]]*tblDisplaySheet[[#This Row],[Count of Invocations]]</f>
        <v>15</v>
      </c>
      <c r="X14" s="8">
        <v>40</v>
      </c>
      <c r="Y14" s="8">
        <f>tblDisplaySheet[[#This Row],[Total Process Path Length NFR]]-tblDisplaySheet[[#This Row],[Total Process Path Length]]</f>
        <v>13</v>
      </c>
      <c r="Z14" s="8" t="str">
        <f>IF(tblDisplaySheet[[#This Row],[Difference]]&gt;=0, "On Target", "Off Target")</f>
        <v>On Target</v>
      </c>
      <c r="AA14" s="8" t="str">
        <f>IFERROR(IF(tblInputSheet[[#This Row],[Is Leaf ?]] = "-", "", tblInputSheet[[#This Row],[Is Leaf ?]]), "")</f>
        <v>N</v>
      </c>
      <c r="AB14" s="8" t="str">
        <f>IFERROR(IF(tblInputSheet[[#This Row],[Owner]] = "", "", tblInputSheet[[#This Row],[Owner]]), "")</f>
        <v>Alak</v>
      </c>
      <c r="AC14" s="8" t="s">
        <v>20</v>
      </c>
      <c r="AD14" s="9" t="s">
        <v>20</v>
      </c>
    </row>
    <row r="15" spans="1:30" x14ac:dyDescent="0.25">
      <c r="A15" s="8">
        <f>IFERROR(IF(tblInputSheet[[#This Row],[Link]] = "", "", tblInputSheet[[#This Row],[Link]]), "")</f>
        <v>12</v>
      </c>
      <c r="B15" s="9">
        <f>IFERROR(IF(tblInputSheet[[#This Row],[Level]] = "", "", tblInputSheet[[#This Row],[Level]]), "")</f>
        <v>7</v>
      </c>
      <c r="C15" s="9">
        <f>IFERROR(IF(tblInputSheet[[#This Row],[Sl.No]] = "", "", tblInputSheet[[#This Row],[Sl.No]]), "")</f>
        <v>13</v>
      </c>
      <c r="D15" s="9" t="str">
        <f>IFERROR(IF(tblInputSheet[[#This Row],[Group]] = "", "", tblInputSheet[[#This Row],[Group]]), "")</f>
        <v>Eligibility</v>
      </c>
      <c r="E15" s="9" t="str">
        <f>IFERROR(IF(tblInputSheet[[#This Row],[Process]] = "", "", REPT("*",Display!$B15)&amp;""&amp;tblInputSheet[[#This Row],[Process]]), "")</f>
        <v>*******Claim Provider Microservice</v>
      </c>
      <c r="F15" s="9" t="str">
        <f>IFERROR(IF(tblInputSheet[[#This Row],[Hosted Platform]] = "", "", tblInputSheet[[#This Row],[Hosted Platform]]), "")</f>
        <v>PCF</v>
      </c>
      <c r="G15" s="9" t="str">
        <f>IFERROR(IF(tblInputSheet[[#This Row],[Provider]] = "-", "", tblInputSheet[[#This Row],[Provider]]), "")</f>
        <v>Key-Claims Adjudication</v>
      </c>
      <c r="H15" s="9" t="str">
        <f>IFERROR(IF(tblInputSheet[[#This Row],[Consumer]] = "-", "", tblInputSheet[[#This Row],[Consumer]]), "")</f>
        <v>Key-Claims Adjudication</v>
      </c>
      <c r="I15" s="9" t="str">
        <f>IFERROR(IF(tblInputSheet[[#This Row],[Integration Pattern]] = "-", "", tblInputSheet[[#This Row],[Integration Pattern]]), "")</f>
        <v>PCF Internal (C-to-C)</v>
      </c>
      <c r="J15" s="9" t="str">
        <f>IFERROR(IF(tblInputSheet[[#This Row],[Current State]] = "-", "", tblInputSheet[[#This Row],[Current State]]), "")</f>
        <v>Y</v>
      </c>
      <c r="K15" s="9" t="str">
        <f>IFERROR(IF(tblInputSheet[[#This Row],[End State]] = "-", "", tblInputSheet[[#This Row],[End State]]), "")</f>
        <v>Y</v>
      </c>
      <c r="L15" s="9" t="str">
        <f>IFERROR(IF(tblInputSheet[[#This Row],[MVP]] = "-", "", tblInputSheet[[#This Row],[MVP]]), "")</f>
        <v>Y</v>
      </c>
      <c r="M15" s="9" t="str">
        <f>IFERROR(IF(tblInputSheet[[#This Row],[Confidence Factor]] = "-", "", VLOOKUP(tblInputSheet[[#This Row],[Confidence Factor]], tblConfidenceFactor[], 3,FALSE)), "")</f>
        <v>High</v>
      </c>
      <c r="N15" s="9">
        <f>IFERROR(IF(tblInputSheet[[#This Row],[Count of Invocations]] = "", "", tblInputSheet[[#This Row],[Count of Invocations]]), "")</f>
        <v>1</v>
      </c>
      <c r="O15" s="9">
        <f>IFERROR(IF(tblInputSheet[[#This Row],[DB Calls (ms)]] = "", "", tblInputSheet[[#This Row],[DB Calls (ms)]]), "")</f>
        <v>1</v>
      </c>
      <c r="P15" s="9">
        <f>IFERROR(IF(tblInputSheet[[#This Row],[Logic (ms)]] = "", "", tblInputSheet[[#This Row],[Logic (ms)]]), "")</f>
        <v>4</v>
      </c>
      <c r="Q15" s="9">
        <f>IFERROR(IF(tblInputSheet[[#This Row],[Rules (ms)]] = "", "", tblInputSheet[[#This Row],[Rules (ms)]]), "")</f>
        <v>0</v>
      </c>
      <c r="R15" s="9">
        <f>IFERROR(IF(tblInputSheet[[#This Row],[Latency (ms)]] = "", "", tblInputSheet[[#This Row],[Latency (ms)]]), "")</f>
        <v>5</v>
      </c>
      <c r="S15" s="9">
        <f>IFERROR(SUM(tblDisplaySheet[[#This Row],[DB Calls (ms)]:[Latency (ms)]]), "")</f>
        <v>10</v>
      </c>
      <c r="T15" s="9">
        <f>IFERROR(tblDisplaySheet[[#This Row],[Time of Function / Call]]*tblDisplaySheet[[#This Row],[Count of Invocations]], "")</f>
        <v>10</v>
      </c>
      <c r="U15" s="8">
        <v>10</v>
      </c>
      <c r="V15" s="8">
        <f>IFERROR(IF(tblInputSheet[[#This Row],[Process NFR]] = "", "", tblInputSheet[[#This Row],[Process NFR]]), "")</f>
        <v>15</v>
      </c>
      <c r="W15" s="8">
        <f>tblDisplaySheet[[#This Row],[Process NFR]]*tblDisplaySheet[[#This Row],[Count of Invocations]]</f>
        <v>15</v>
      </c>
      <c r="X15" s="8">
        <v>15</v>
      </c>
      <c r="Y15" s="8">
        <f>tblDisplaySheet[[#This Row],[Total Process Path Length NFR]]-tblDisplaySheet[[#This Row],[Total Process Path Length]]</f>
        <v>5</v>
      </c>
      <c r="Z15" s="8" t="str">
        <f>IF(tblDisplaySheet[[#This Row],[Difference]]&gt;=0, "On Target", "Off Target")</f>
        <v>On Target</v>
      </c>
      <c r="AA15" s="8" t="str">
        <f>IFERROR(IF(tblInputSheet[[#This Row],[Is Leaf ?]] = "-", "", tblInputSheet[[#This Row],[Is Leaf ?]]), "")</f>
        <v>Y</v>
      </c>
      <c r="AB15" s="8" t="str">
        <f>IFERROR(IF(tblInputSheet[[#This Row],[Owner]] = "", "", tblInputSheet[[#This Row],[Owner]]), "")</f>
        <v>Alak</v>
      </c>
      <c r="AC15" s="8" t="s">
        <v>20</v>
      </c>
      <c r="AD15" s="9" t="s">
        <v>20</v>
      </c>
    </row>
    <row r="16" spans="1:30" x14ac:dyDescent="0.25">
      <c r="A16" s="8">
        <f>IFERROR(IF(tblInputSheet[[#This Row],[Link]] = "", "", tblInputSheet[[#This Row],[Link]]), "")</f>
        <v>12</v>
      </c>
      <c r="B16" s="9">
        <f>IFERROR(IF(tblInputSheet[[#This Row],[Level]] = "", "", tblInputSheet[[#This Row],[Level]]), "")</f>
        <v>7</v>
      </c>
      <c r="C16" s="9">
        <f>IFERROR(IF(tblInputSheet[[#This Row],[Sl.No]] = "", "", tblInputSheet[[#This Row],[Sl.No]]), "")</f>
        <v>14</v>
      </c>
      <c r="D16" s="9" t="str">
        <f>IFERROR(IF(tblInputSheet[[#This Row],[Group]] = "", "", tblInputSheet[[#This Row],[Group]]), "")</f>
        <v>Eligibility</v>
      </c>
      <c r="E16" s="9" t="str">
        <f>IFERROR(IF(tblInputSheet[[#This Row],[Process]] = "", "", REPT("*",Display!$B16)&amp;""&amp;tblInputSheet[[#This Row],[Process]]), "")</f>
        <v>*******Reference Lookup Microservice</v>
      </c>
      <c r="F16" s="9" t="str">
        <f>IFERROR(IF(tblInputSheet[[#This Row],[Hosted Platform]] = "", "", tblInputSheet[[#This Row],[Hosted Platform]]), "")</f>
        <v>PCF</v>
      </c>
      <c r="G16" s="9" t="str">
        <f>IFERROR(IF(tblInputSheet[[#This Row],[Provider]] = "-", "", tblInputSheet[[#This Row],[Provider]]), "")</f>
        <v>Key-Claims Adjudication</v>
      </c>
      <c r="H16" s="9" t="str">
        <f>IFERROR(IF(tblInputSheet[[#This Row],[Consumer]] = "-", "", tblInputSheet[[#This Row],[Consumer]]), "")</f>
        <v>Key-Claims Adjudication</v>
      </c>
      <c r="I16" s="9" t="str">
        <f>IFERROR(IF(tblInputSheet[[#This Row],[Integration Pattern]] = "-", "", tblInputSheet[[#This Row],[Integration Pattern]]), "")</f>
        <v>PCF Internal (C-to-C)</v>
      </c>
      <c r="J16" s="9" t="str">
        <f>IFERROR(IF(tblInputSheet[[#This Row],[Current State]] = "-", "", tblInputSheet[[#This Row],[Current State]]), "")</f>
        <v>Y</v>
      </c>
      <c r="K16" s="9" t="str">
        <f>IFERROR(IF(tblInputSheet[[#This Row],[End State]] = "-", "", tblInputSheet[[#This Row],[End State]]), "")</f>
        <v>Y</v>
      </c>
      <c r="L16" s="9" t="str">
        <f>IFERROR(IF(tblInputSheet[[#This Row],[MVP]] = "-", "", tblInputSheet[[#This Row],[MVP]]), "")</f>
        <v>Y</v>
      </c>
      <c r="M16" s="9" t="str">
        <f>IFERROR(IF(tblInputSheet[[#This Row],[Confidence Factor]] = "-", "", VLOOKUP(tblInputSheet[[#This Row],[Confidence Factor]], tblConfidenceFactor[], 3,FALSE)), "")</f>
        <v>High</v>
      </c>
      <c r="N16" s="9">
        <f>IFERROR(IF(tblInputSheet[[#This Row],[Count of Invocations]] = "", "", tblInputSheet[[#This Row],[Count of Invocations]]), "")</f>
        <v>1</v>
      </c>
      <c r="O16" s="9">
        <f>IFERROR(IF(tblInputSheet[[#This Row],[DB Calls (ms)]] = "", "", tblInputSheet[[#This Row],[DB Calls (ms)]]), "")</f>
        <v>1</v>
      </c>
      <c r="P16" s="9">
        <f>IFERROR(IF(tblInputSheet[[#This Row],[Logic (ms)]] = "", "", tblInputSheet[[#This Row],[Logic (ms)]]), "")</f>
        <v>1</v>
      </c>
      <c r="Q16" s="9">
        <f>IFERROR(IF(tblInputSheet[[#This Row],[Rules (ms)]] = "", "", tblInputSheet[[#This Row],[Rules (ms)]]), "")</f>
        <v>0</v>
      </c>
      <c r="R16" s="9">
        <f>IFERROR(IF(tblInputSheet[[#This Row],[Latency (ms)]] = "", "", tblInputSheet[[#This Row],[Latency (ms)]]), "")</f>
        <v>5</v>
      </c>
      <c r="S16" s="9">
        <f>IFERROR(SUM(tblDisplaySheet[[#This Row],[DB Calls (ms)]:[Latency (ms)]]), "")</f>
        <v>7</v>
      </c>
      <c r="T16" s="9">
        <f>IFERROR(tblDisplaySheet[[#This Row],[Time of Function / Call]]*tblDisplaySheet[[#This Row],[Count of Invocations]], "")</f>
        <v>7</v>
      </c>
      <c r="U16" s="8">
        <v>7</v>
      </c>
      <c r="V16" s="8">
        <f>IFERROR(IF(tblInputSheet[[#This Row],[Process NFR]] = "", "", tblInputSheet[[#This Row],[Process NFR]]), "")</f>
        <v>10</v>
      </c>
      <c r="W16" s="8">
        <f>tblDisplaySheet[[#This Row],[Process NFR]]*tblDisplaySheet[[#This Row],[Count of Invocations]]</f>
        <v>10</v>
      </c>
      <c r="X16" s="8">
        <v>10</v>
      </c>
      <c r="Y16" s="8">
        <f>tblDisplaySheet[[#This Row],[Total Process Path Length NFR]]-tblDisplaySheet[[#This Row],[Total Process Path Length]]</f>
        <v>3</v>
      </c>
      <c r="Z16" s="8" t="str">
        <f>IF(tblDisplaySheet[[#This Row],[Difference]]&gt;=0, "On Target", "Off Target")</f>
        <v>On Target</v>
      </c>
      <c r="AA16" s="8" t="str">
        <f>IFERROR(IF(tblInputSheet[[#This Row],[Is Leaf ?]] = "-", "", tblInputSheet[[#This Row],[Is Leaf ?]]), "")</f>
        <v>Y</v>
      </c>
      <c r="AB16" s="8" t="str">
        <f>IFERROR(IF(tblInputSheet[[#This Row],[Owner]] = "", "", tblInputSheet[[#This Row],[Owner]]), "")</f>
        <v>Alak</v>
      </c>
      <c r="AC16" s="8" t="s">
        <v>20</v>
      </c>
      <c r="AD16" s="9" t="s">
        <v>73</v>
      </c>
    </row>
    <row r="17" spans="1:30" x14ac:dyDescent="0.25">
      <c r="A17" s="8">
        <f>IFERROR(IF(tblInputSheet[[#This Row],[Link]] = "", "", tblInputSheet[[#This Row],[Link]]), "")</f>
        <v>6</v>
      </c>
      <c r="B17" s="9">
        <f>IFERROR(IF(tblInputSheet[[#This Row],[Level]] = "", "", tblInputSheet[[#This Row],[Level]]), "")</f>
        <v>6</v>
      </c>
      <c r="C17" s="9">
        <f>IFERROR(IF(tblInputSheet[[#This Row],[Sl.No]] = "", "", tblInputSheet[[#This Row],[Sl.No]]), "")</f>
        <v>15</v>
      </c>
      <c r="D17" s="9" t="str">
        <f>IFERROR(IF(tblInputSheet[[#This Row],[Group]] = "", "", tblInputSheet[[#This Row],[Group]]), "")</f>
        <v>Eligibility</v>
      </c>
      <c r="E17" s="9" t="str">
        <f>IFERROR(IF(tblInputSheet[[#This Row],[Process]] = "", "", REPT("*",Display!$B17)&amp;""&amp;tblInputSheet[[#This Row],[Process]]), "")</f>
        <v>******Eligibility Lock Microservice</v>
      </c>
      <c r="F17" s="9" t="str">
        <f>IFERROR(IF(tblInputSheet[[#This Row],[Hosted Platform]] = "", "", tblInputSheet[[#This Row],[Hosted Platform]]), "")</f>
        <v>PCF</v>
      </c>
      <c r="G17" s="9" t="str">
        <f>IFERROR(IF(tblInputSheet[[#This Row],[Provider]] = "-", "", tblInputSheet[[#This Row],[Provider]]), "")</f>
        <v>Key-Claims Adjudication</v>
      </c>
      <c r="H17" s="9" t="str">
        <f>IFERROR(IF(tblInputSheet[[#This Row],[Consumer]] = "-", "", tblInputSheet[[#This Row],[Consumer]]), "")</f>
        <v>Key-Claims Adjudication</v>
      </c>
      <c r="I17" s="9" t="str">
        <f>IFERROR(IF(tblInputSheet[[#This Row],[Integration Pattern]] = "-", "", tblInputSheet[[#This Row],[Integration Pattern]]), "")</f>
        <v>PCF Internal (C-to-C)</v>
      </c>
      <c r="J17" s="9" t="str">
        <f>IFERROR(IF(tblInputSheet[[#This Row],[Current State]] = "-", "", tblInputSheet[[#This Row],[Current State]]), "")</f>
        <v>Y</v>
      </c>
      <c r="K17" s="9" t="str">
        <f>IFERROR(IF(tblInputSheet[[#This Row],[End State]] = "-", "", tblInputSheet[[#This Row],[End State]]), "")</f>
        <v>Y</v>
      </c>
      <c r="L17" s="9" t="str">
        <f>IFERROR(IF(tblInputSheet[[#This Row],[MVP]] = "-", "", tblInputSheet[[#This Row],[MVP]]), "")</f>
        <v>Y</v>
      </c>
      <c r="M17" s="9" t="str">
        <f>IFERROR(IF(tblInputSheet[[#This Row],[Confidence Factor]] = "-", "", VLOOKUP(tblInputSheet[[#This Row],[Confidence Factor]], tblConfidenceFactor[], 3,FALSE)), "")</f>
        <v>High</v>
      </c>
      <c r="N17" s="9">
        <f>IFERROR(IF(tblInputSheet[[#This Row],[Count of Invocations]] = "", "", tblInputSheet[[#This Row],[Count of Invocations]]), "")</f>
        <v>1</v>
      </c>
      <c r="O17" s="9">
        <f>IFERROR(IF(tblInputSheet[[#This Row],[DB Calls (ms)]] = "", "", tblInputSheet[[#This Row],[DB Calls (ms)]]), "")</f>
        <v>1</v>
      </c>
      <c r="P17" s="9">
        <f>IFERROR(IF(tblInputSheet[[#This Row],[Logic (ms)]] = "", "", tblInputSheet[[#This Row],[Logic (ms)]]), "")</f>
        <v>24</v>
      </c>
      <c r="Q17" s="9">
        <f>IFERROR(IF(tblInputSheet[[#This Row],[Rules (ms)]] = "", "", tblInputSheet[[#This Row],[Rules (ms)]]), "")</f>
        <v>0</v>
      </c>
      <c r="R17" s="9">
        <f>IFERROR(IF(tblInputSheet[[#This Row],[Latency (ms)]] = "", "", tblInputSheet[[#This Row],[Latency (ms)]]), "")</f>
        <v>5</v>
      </c>
      <c r="S17" s="9">
        <f>IFERROR(SUM(tblDisplaySheet[[#This Row],[DB Calls (ms)]:[Latency (ms)]]), "")</f>
        <v>30</v>
      </c>
      <c r="T17" s="9">
        <f>IFERROR(tblDisplaySheet[[#This Row],[Time of Function / Call]]*tblDisplaySheet[[#This Row],[Count of Invocations]], "")</f>
        <v>30</v>
      </c>
      <c r="U17" s="8">
        <v>30</v>
      </c>
      <c r="V17" s="8">
        <f>IFERROR(IF(tblInputSheet[[#This Row],[Process NFR]] = "", "", tblInputSheet[[#This Row],[Process NFR]]), "")</f>
        <v>35</v>
      </c>
      <c r="W17" s="8">
        <f>tblDisplaySheet[[#This Row],[Process NFR]]*tblDisplaySheet[[#This Row],[Count of Invocations]]</f>
        <v>35</v>
      </c>
      <c r="X17" s="8">
        <v>35</v>
      </c>
      <c r="Y17" s="8">
        <f>tblDisplaySheet[[#This Row],[Total Process Path Length NFR]]-tblDisplaySheet[[#This Row],[Total Process Path Length]]</f>
        <v>5</v>
      </c>
      <c r="Z17" s="8" t="str">
        <f>IF(tblDisplaySheet[[#This Row],[Difference]]&gt;=0, "On Target", "Off Target")</f>
        <v>On Target</v>
      </c>
      <c r="AA17" s="8" t="str">
        <f>IFERROR(IF(tblInputSheet[[#This Row],[Is Leaf ?]] = "-", "", tblInputSheet[[#This Row],[Is Leaf ?]]), "")</f>
        <v>Y</v>
      </c>
      <c r="AB17" s="8" t="str">
        <f>IFERROR(IF(tblInputSheet[[#This Row],[Owner]] = "", "", tblInputSheet[[#This Row],[Owner]]), "")</f>
        <v>Alak</v>
      </c>
      <c r="AC17" s="8" t="s">
        <v>20</v>
      </c>
      <c r="AD17" s="9" t="s">
        <v>20</v>
      </c>
    </row>
    <row r="18" spans="1:30" ht="30" x14ac:dyDescent="0.25">
      <c r="A18" s="8">
        <f>IFERROR(IF(tblInputSheet[[#This Row],[Link]] = "", "", tblInputSheet[[#This Row],[Link]]), "")</f>
        <v>2</v>
      </c>
      <c r="B18" s="9">
        <f>IFERROR(IF(tblInputSheet[[#This Row],[Level]] = "", "", tblInputSheet[[#This Row],[Level]]), "")</f>
        <v>2</v>
      </c>
      <c r="C18" s="9">
        <f>IFERROR(IF(tblInputSheet[[#This Row],[Sl.No]] = "", "", tblInputSheet[[#This Row],[Sl.No]]), "")</f>
        <v>16</v>
      </c>
      <c r="D18" s="9" t="str">
        <f>IFERROR(IF(tblInputSheet[[#This Row],[Group]] = "", "", tblInputSheet[[#This Row],[Group]]), "")</f>
        <v>Claim Level</v>
      </c>
      <c r="E18" s="9" t="str">
        <f>IFERROR(IF(tblInputSheet[[#This Row],[Process]] = "", "", REPT("*",Display!$B18)&amp;""&amp;tblInputSheet[[#This Row],[Process]]), "")</f>
        <v>**Claim Level</v>
      </c>
      <c r="F18" s="9" t="str">
        <f>IFERROR(IF(tblInputSheet[[#This Row],[Hosted Platform]] = "", "", tblInputSheet[[#This Row],[Hosted Platform]]), "")</f>
        <v>Business Process</v>
      </c>
      <c r="G18" s="9" t="str">
        <f>IFERROR(IF(tblInputSheet[[#This Row],[Provider]] = "-", "", tblInputSheet[[#This Row],[Provider]]), "")</f>
        <v>NA</v>
      </c>
      <c r="H18" s="9" t="str">
        <f>IFERROR(IF(tblInputSheet[[#This Row],[Consumer]] = "-", "", tblInputSheet[[#This Row],[Consumer]]), "")</f>
        <v>NA</v>
      </c>
      <c r="I18" s="9" t="str">
        <f>IFERROR(IF(tblInputSheet[[#This Row],[Integration Pattern]] = "-", "", tblInputSheet[[#This Row],[Integration Pattern]]), "")</f>
        <v>Group</v>
      </c>
      <c r="J18" s="9" t="str">
        <f>IFERROR(IF(tblInputSheet[[#This Row],[Current State]] = "-", "", tblInputSheet[[#This Row],[Current State]]), "")</f>
        <v>Y</v>
      </c>
      <c r="K18" s="9" t="str">
        <f>IFERROR(IF(tblInputSheet[[#This Row],[End State]] = "-", "", tblInputSheet[[#This Row],[End State]]), "")</f>
        <v>Y</v>
      </c>
      <c r="L18" s="9" t="str">
        <f>IFERROR(IF(tblInputSheet[[#This Row],[MVP]] = "-", "", tblInputSheet[[#This Row],[MVP]]), "")</f>
        <v>Y</v>
      </c>
      <c r="M18" s="9" t="str">
        <f>IFERROR(IF(tblInputSheet[[#This Row],[Confidence Factor]] = "-", "", VLOOKUP(tblInputSheet[[#This Row],[Confidence Factor]], tblConfidenceFactor[], 3,FALSE)), "")</f>
        <v>Group</v>
      </c>
      <c r="N18" s="9">
        <f>IFERROR(IF(tblInputSheet[[#This Row],[Count of Invocations]] = "", "", tblInputSheet[[#This Row],[Count of Invocations]]), "")</f>
        <v>0</v>
      </c>
      <c r="O18" s="9">
        <f>IFERROR(IF(tblInputSheet[[#This Row],[DB Calls (ms)]] = "", "", tblInputSheet[[#This Row],[DB Calls (ms)]]), "")</f>
        <v>0</v>
      </c>
      <c r="P18" s="9">
        <f>IFERROR(IF(tblInputSheet[[#This Row],[Logic (ms)]] = "", "", tblInputSheet[[#This Row],[Logic (ms)]]), "")</f>
        <v>0</v>
      </c>
      <c r="Q18" s="9">
        <f>IFERROR(IF(tblInputSheet[[#This Row],[Rules (ms)]] = "", "", tblInputSheet[[#This Row],[Rules (ms)]]), "")</f>
        <v>0</v>
      </c>
      <c r="R18" s="9">
        <f>IFERROR(IF(tblInputSheet[[#This Row],[Latency (ms)]] = "", "", tblInputSheet[[#This Row],[Latency (ms)]]), "")</f>
        <v>0</v>
      </c>
      <c r="S18" s="9">
        <f>IFERROR(SUM(tblDisplaySheet[[#This Row],[DB Calls (ms)]:[Latency (ms)]]), "")</f>
        <v>0</v>
      </c>
      <c r="T18" s="9">
        <f>IFERROR(tblDisplaySheet[[#This Row],[Time of Function / Call]]*tblDisplaySheet[[#This Row],[Count of Invocations]], "")</f>
        <v>0</v>
      </c>
      <c r="U18" s="8">
        <v>42</v>
      </c>
      <c r="V18" s="8">
        <f>IFERROR(IF(tblInputSheet[[#This Row],[Process NFR]] = "", "", tblInputSheet[[#This Row],[Process NFR]]), "")</f>
        <v>0</v>
      </c>
      <c r="W18" s="8">
        <f>tblDisplaySheet[[#This Row],[Process NFR]]*tblDisplaySheet[[#This Row],[Count of Invocations]]</f>
        <v>0</v>
      </c>
      <c r="X18" s="8">
        <v>45</v>
      </c>
      <c r="Y18" s="8">
        <f>tblDisplaySheet[[#This Row],[Total Process Path Length NFR]]-tblDisplaySheet[[#This Row],[Total Process Path Length]]</f>
        <v>3</v>
      </c>
      <c r="Z18" s="8" t="str">
        <f>IF(tblDisplaySheet[[#This Row],[Difference]]&gt;=0, "On Target", "Off Target")</f>
        <v>On Target</v>
      </c>
      <c r="AA18" s="8" t="str">
        <f>IFERROR(IF(tblInputSheet[[#This Row],[Is Leaf ?]] = "-", "", tblInputSheet[[#This Row],[Is Leaf ?]]), "")</f>
        <v>G</v>
      </c>
      <c r="AB18" s="8" t="str">
        <f>IFERROR(IF(tblInputSheet[[#This Row],[Owner]] = "", "", tblInputSheet[[#This Row],[Owner]]), "")</f>
        <v>Alak</v>
      </c>
      <c r="AC18" s="8" t="s">
        <v>20</v>
      </c>
      <c r="AD18" s="9" t="s">
        <v>73</v>
      </c>
    </row>
    <row r="19" spans="1:30" x14ac:dyDescent="0.25">
      <c r="A19" s="8">
        <f>IFERROR(IF(tblInputSheet[[#This Row],[Link]] = "", "", tblInputSheet[[#This Row],[Link]]), "")</f>
        <v>16</v>
      </c>
      <c r="B19" s="9">
        <f>IFERROR(IF(tblInputSheet[[#This Row],[Level]] = "", "", tblInputSheet[[#This Row],[Level]]), "")</f>
        <v>3</v>
      </c>
      <c r="C19" s="9">
        <f>IFERROR(IF(tblInputSheet[[#This Row],[Sl.No]] = "", "", tblInputSheet[[#This Row],[Sl.No]]), "")</f>
        <v>17</v>
      </c>
      <c r="D19" s="9" t="str">
        <f>IFERROR(IF(tblInputSheet[[#This Row],[Group]] = "", "", tblInputSheet[[#This Row],[Group]]), "")</f>
        <v>Claim Mainline</v>
      </c>
      <c r="E19" s="9" t="str">
        <f>IFERROR(IF(tblInputSheet[[#This Row],[Process]] = "", "", REPT("*",Display!$B19)&amp;""&amp;tblInputSheet[[#This Row],[Process]]), "")</f>
        <v>***Claim Mainline</v>
      </c>
      <c r="F19" s="9" t="str">
        <f>IFERROR(IF(tblInputSheet[[#This Row],[Hosted Platform]] = "", "", tblInputSheet[[#This Row],[Hosted Platform]]), "")</f>
        <v>Legacy BC</v>
      </c>
      <c r="G19" s="9" t="str">
        <f>IFERROR(IF(tblInputSheet[[#This Row],[Provider]] = "-", "", tblInputSheet[[#This Row],[Provider]]), "")</f>
        <v>Claims-Legacy</v>
      </c>
      <c r="H19" s="9" t="str">
        <f>IFERROR(IF(tblInputSheet[[#This Row],[Consumer]] = "-", "", tblInputSheet[[#This Row],[Consumer]]), "")</f>
        <v>Claims-Legacy</v>
      </c>
      <c r="I19" s="9" t="str">
        <f>IFERROR(IF(tblInputSheet[[#This Row],[Integration Pattern]] = "-", "", tblInputSheet[[#This Row],[Integration Pattern]]), "")</f>
        <v>BC Internal</v>
      </c>
      <c r="J19" s="9" t="str">
        <f>IFERROR(IF(tblInputSheet[[#This Row],[Current State]] = "-", "", tblInputSheet[[#This Row],[Current State]]), "")</f>
        <v>Y</v>
      </c>
      <c r="K19" s="9" t="str">
        <f>IFERROR(IF(tblInputSheet[[#This Row],[End State]] = "-", "", tblInputSheet[[#This Row],[End State]]), "")</f>
        <v>Y</v>
      </c>
      <c r="L19" s="9" t="str">
        <f>IFERROR(IF(tblInputSheet[[#This Row],[MVP]] = "-", "", tblInputSheet[[#This Row],[MVP]]), "")</f>
        <v>Y</v>
      </c>
      <c r="M19" s="9" t="str">
        <f>IFERROR(IF(tblInputSheet[[#This Row],[Confidence Factor]] = "-", "", VLOOKUP(tblInputSheet[[#This Row],[Confidence Factor]], tblConfidenceFactor[], 3,FALSE)), "")</f>
        <v>Medium</v>
      </c>
      <c r="N19" s="9">
        <f>IFERROR(IF(tblInputSheet[[#This Row],[Count of Invocations]] = "", "", tblInputSheet[[#This Row],[Count of Invocations]]), "")</f>
        <v>1</v>
      </c>
      <c r="O19" s="9">
        <f>IFERROR(IF(tblInputSheet[[#This Row],[DB Calls (ms)]] = "", "", tblInputSheet[[#This Row],[DB Calls (ms)]]), "")</f>
        <v>0</v>
      </c>
      <c r="P19" s="9">
        <f>IFERROR(IF(tblInputSheet[[#This Row],[Logic (ms)]] = "", "", tblInputSheet[[#This Row],[Logic (ms)]]), "")</f>
        <v>42</v>
      </c>
      <c r="Q19" s="9">
        <f>IFERROR(IF(tblInputSheet[[#This Row],[Rules (ms)]] = "", "", tblInputSheet[[#This Row],[Rules (ms)]]), "")</f>
        <v>0</v>
      </c>
      <c r="R19" s="9">
        <f>IFERROR(IF(tblInputSheet[[#This Row],[Latency (ms)]] = "", "", tblInputSheet[[#This Row],[Latency (ms)]]), "")</f>
        <v>0</v>
      </c>
      <c r="S19" s="9">
        <f>IFERROR(SUM(tblDisplaySheet[[#This Row],[DB Calls (ms)]:[Latency (ms)]]), "")</f>
        <v>42</v>
      </c>
      <c r="T19" s="9">
        <f>IFERROR(tblDisplaySheet[[#This Row],[Time of Function / Call]]*tblDisplaySheet[[#This Row],[Count of Invocations]], "")</f>
        <v>42</v>
      </c>
      <c r="U19" s="8">
        <v>42</v>
      </c>
      <c r="V19" s="8">
        <f>IFERROR(IF(tblInputSheet[[#This Row],[Process NFR]] = "", "", tblInputSheet[[#This Row],[Process NFR]]), "")</f>
        <v>45</v>
      </c>
      <c r="W19" s="8">
        <f>tblDisplaySheet[[#This Row],[Process NFR]]*tblDisplaySheet[[#This Row],[Count of Invocations]]</f>
        <v>45</v>
      </c>
      <c r="X19" s="8">
        <v>45</v>
      </c>
      <c r="Y19" s="8">
        <f>tblDisplaySheet[[#This Row],[Total Process Path Length NFR]]-tblDisplaySheet[[#This Row],[Total Process Path Length]]</f>
        <v>3</v>
      </c>
      <c r="Z19" s="8" t="str">
        <f>IF(tblDisplaySheet[[#This Row],[Difference]]&gt;=0, "On Target", "Off Target")</f>
        <v>On Target</v>
      </c>
      <c r="AA19" s="8" t="str">
        <f>IFERROR(IF(tblInputSheet[[#This Row],[Is Leaf ?]] = "-", "", tblInputSheet[[#This Row],[Is Leaf ?]]), "")</f>
        <v>Y</v>
      </c>
      <c r="AB19" s="8" t="str">
        <f>IFERROR(IF(tblInputSheet[[#This Row],[Owner]] = "", "", tblInputSheet[[#This Row],[Owner]]), "")</f>
        <v>Alak</v>
      </c>
      <c r="AC19" s="8" t="s">
        <v>20</v>
      </c>
      <c r="AD19" s="9" t="s">
        <v>73</v>
      </c>
    </row>
    <row r="20" spans="1:30" x14ac:dyDescent="0.25">
      <c r="A20" s="8">
        <f>IFERROR(IF(tblInputSheet[[#This Row],[Link]] = "", "", tblInputSheet[[#This Row],[Link]]), "")</f>
        <v>2</v>
      </c>
      <c r="B20" s="9">
        <f>IFERROR(IF(tblInputSheet[[#This Row],[Level]] = "", "", tblInputSheet[[#This Row],[Level]]), "")</f>
        <v>2</v>
      </c>
      <c r="C20" s="9">
        <f>IFERROR(IF(tblInputSheet[[#This Row],[Sl.No]] = "", "", tblInputSheet[[#This Row],[Sl.No]]), "")</f>
        <v>18</v>
      </c>
      <c r="D20" s="9" t="str">
        <f>IFERROR(IF(tblInputSheet[[#This Row],[Group]] = "", "", tblInputSheet[[#This Row],[Group]]), "")</f>
        <v>Service Level</v>
      </c>
      <c r="E20" s="9" t="str">
        <f>IFERROR(IF(tblInputSheet[[#This Row],[Process]] = "", "", REPT("*",Display!$B20)&amp;""&amp;tblInputSheet[[#This Row],[Process]]), "")</f>
        <v>**Service Level</v>
      </c>
      <c r="F20" s="9" t="str">
        <f>IFERROR(IF(tblInputSheet[[#This Row],[Hosted Platform]] = "", "", tblInputSheet[[#This Row],[Hosted Platform]]), "")</f>
        <v>Business Process</v>
      </c>
      <c r="G20" s="9" t="str">
        <f>IFERROR(IF(tblInputSheet[[#This Row],[Provider]] = "-", "", tblInputSheet[[#This Row],[Provider]]), "")</f>
        <v>NA</v>
      </c>
      <c r="H20" s="9" t="str">
        <f>IFERROR(IF(tblInputSheet[[#This Row],[Consumer]] = "-", "", tblInputSheet[[#This Row],[Consumer]]), "")</f>
        <v>NA</v>
      </c>
      <c r="I20" s="9" t="str">
        <f>IFERROR(IF(tblInputSheet[[#This Row],[Integration Pattern]] = "-", "", tblInputSheet[[#This Row],[Integration Pattern]]), "")</f>
        <v>Group</v>
      </c>
      <c r="J20" s="9" t="str">
        <f>IFERROR(IF(tblInputSheet[[#This Row],[Current State]] = "-", "", tblInputSheet[[#This Row],[Current State]]), "")</f>
        <v>Y</v>
      </c>
      <c r="K20" s="9" t="str">
        <f>IFERROR(IF(tblInputSheet[[#This Row],[End State]] = "-", "", tblInputSheet[[#This Row],[End State]]), "")</f>
        <v>Y</v>
      </c>
      <c r="L20" s="9" t="str">
        <f>IFERROR(IF(tblInputSheet[[#This Row],[MVP]] = "-", "", tblInputSheet[[#This Row],[MVP]]), "")</f>
        <v>Y</v>
      </c>
      <c r="M20" s="9" t="str">
        <f>IFERROR(IF(tblInputSheet[[#This Row],[Confidence Factor]] = "-", "", VLOOKUP(tblInputSheet[[#This Row],[Confidence Factor]], tblConfidenceFactor[], 3,FALSE)), "")</f>
        <v>Group</v>
      </c>
      <c r="N20" s="9">
        <f>IFERROR(IF(tblInputSheet[[#This Row],[Count of Invocations]] = "", "", tblInputSheet[[#This Row],[Count of Invocations]]), "")</f>
        <v>0</v>
      </c>
      <c r="O20" s="9">
        <f>IFERROR(IF(tblInputSheet[[#This Row],[DB Calls (ms)]] = "", "", tblInputSheet[[#This Row],[DB Calls (ms)]]), "")</f>
        <v>0</v>
      </c>
      <c r="P20" s="9">
        <f>IFERROR(IF(tblInputSheet[[#This Row],[Logic (ms)]] = "", "", tblInputSheet[[#This Row],[Logic (ms)]]), "")</f>
        <v>0</v>
      </c>
      <c r="Q20" s="9">
        <f>IFERROR(IF(tblInputSheet[[#This Row],[Rules (ms)]] = "", "", tblInputSheet[[#This Row],[Rules (ms)]]), "")</f>
        <v>0</v>
      </c>
      <c r="R20" s="9">
        <f>IFERROR(IF(tblInputSheet[[#This Row],[Latency (ms)]] = "", "", tblInputSheet[[#This Row],[Latency (ms)]]), "")</f>
        <v>0</v>
      </c>
      <c r="S20" s="9">
        <f>IFERROR(SUM(tblDisplaySheet[[#This Row],[DB Calls (ms)]:[Latency (ms)]]), "")</f>
        <v>0</v>
      </c>
      <c r="T20" s="9">
        <f>IFERROR(tblDisplaySheet[[#This Row],[Time of Function / Call]]*tblDisplaySheet[[#This Row],[Count of Invocations]], "")</f>
        <v>0</v>
      </c>
      <c r="U20" s="8">
        <v>3890</v>
      </c>
      <c r="V20" s="8">
        <f>IFERROR(IF(tblInputSheet[[#This Row],[Process NFR]] = "", "", tblInputSheet[[#This Row],[Process NFR]]), "")</f>
        <v>0</v>
      </c>
      <c r="W20" s="8">
        <f>tblDisplaySheet[[#This Row],[Process NFR]]*tblDisplaySheet[[#This Row],[Count of Invocations]]</f>
        <v>0</v>
      </c>
      <c r="X20" s="8">
        <v>4238</v>
      </c>
      <c r="Y20" s="8">
        <f>tblDisplaySheet[[#This Row],[Total Process Path Length NFR]]-tblDisplaySheet[[#This Row],[Total Process Path Length]]</f>
        <v>348</v>
      </c>
      <c r="Z20" s="8" t="str">
        <f>IF(tblDisplaySheet[[#This Row],[Difference]]&gt;=0, "On Target", "Off Target")</f>
        <v>On Target</v>
      </c>
      <c r="AA20" s="8" t="str">
        <f>IFERROR(IF(tblInputSheet[[#This Row],[Is Leaf ?]] = "-", "", tblInputSheet[[#This Row],[Is Leaf ?]]), "")</f>
        <v>G</v>
      </c>
      <c r="AB20" s="8" t="str">
        <f>IFERROR(IF(tblInputSheet[[#This Row],[Owner]] = "", "", tblInputSheet[[#This Row],[Owner]]), "")</f>
        <v>Alak</v>
      </c>
      <c r="AC20" s="8" t="s">
        <v>73</v>
      </c>
      <c r="AD20" s="9" t="s">
        <v>73</v>
      </c>
    </row>
    <row r="21" spans="1:30" ht="17.25" customHeight="1" x14ac:dyDescent="0.25">
      <c r="A21" s="8">
        <f>IFERROR(IF(tblInputSheet[[#This Row],[Link]] = "", "", tblInputSheet[[#This Row],[Link]]), "")</f>
        <v>18</v>
      </c>
      <c r="B21" s="9">
        <f>IFERROR(IF(tblInputSheet[[#This Row],[Level]] = "", "", tblInputSheet[[#This Row],[Level]]), "")</f>
        <v>3</v>
      </c>
      <c r="C21" s="9">
        <f>IFERROR(IF(tblInputSheet[[#This Row],[Sl.No]] = "", "", tblInputSheet[[#This Row],[Sl.No]]), "")</f>
        <v>19</v>
      </c>
      <c r="D21" s="9" t="str">
        <f>IFERROR(IF(tblInputSheet[[#This Row],[Group]] = "", "", tblInputSheet[[#This Row],[Group]]), "")</f>
        <v>Service Level</v>
      </c>
      <c r="E21" s="9" t="str">
        <f>IFERROR(IF(tblInputSheet[[#This Row],[Process]] = "", "", REPT("*",Display!$B21)&amp;""&amp;tblInputSheet[[#This Row],[Process]]), "")</f>
        <v>***Service Mainline</v>
      </c>
      <c r="F21" s="9" t="str">
        <f>IFERROR(IF(tblInputSheet[[#This Row],[Hosted Platform]] = "", "", tblInputSheet[[#This Row],[Hosted Platform]]), "")</f>
        <v>Legacy BC</v>
      </c>
      <c r="G21" s="9" t="str">
        <f>IFERROR(IF(tblInputSheet[[#This Row],[Provider]] = "-", "", tblInputSheet[[#This Row],[Provider]]), "")</f>
        <v>Claims-Legacy</v>
      </c>
      <c r="H21" s="9" t="str">
        <f>IFERROR(IF(tblInputSheet[[#This Row],[Consumer]] = "-", "", tblInputSheet[[#This Row],[Consumer]]), "")</f>
        <v>Claims-Legacy</v>
      </c>
      <c r="I21" s="9" t="str">
        <f>IFERROR(IF(tblInputSheet[[#This Row],[Integration Pattern]] = "-", "", tblInputSheet[[#This Row],[Integration Pattern]]), "")</f>
        <v>BC Internal</v>
      </c>
      <c r="J21" s="9" t="str">
        <f>IFERROR(IF(tblInputSheet[[#This Row],[Current State]] = "-", "", tblInputSheet[[#This Row],[Current State]]), "")</f>
        <v>Y</v>
      </c>
      <c r="K21" s="9" t="str">
        <f>IFERROR(IF(tblInputSheet[[#This Row],[End State]] = "-", "", tblInputSheet[[#This Row],[End State]]), "")</f>
        <v>N</v>
      </c>
      <c r="L21" s="9" t="str">
        <f>IFERROR(IF(tblInputSheet[[#This Row],[MVP]] = "-", "", tblInputSheet[[#This Row],[MVP]]), "")</f>
        <v>Y</v>
      </c>
      <c r="M21" s="9" t="str">
        <f>IFERROR(IF(tblInputSheet[[#This Row],[Confidence Factor]] = "-", "", VLOOKUP(tblInputSheet[[#This Row],[Confidence Factor]], tblConfidenceFactor[], 3,FALSE)), "")</f>
        <v>Low</v>
      </c>
      <c r="N21" s="9">
        <f>IFERROR(IF(tblInputSheet[[#This Row],[Count of Invocations]] = "", "", tblInputSheet[[#This Row],[Count of Invocations]]), "")</f>
        <v>1</v>
      </c>
      <c r="O21" s="9">
        <f>IFERROR(IF(tblInputSheet[[#This Row],[DB Calls (ms)]] = "", "", tblInputSheet[[#This Row],[DB Calls (ms)]]), "")</f>
        <v>1</v>
      </c>
      <c r="P21" s="9">
        <f>IFERROR(IF(tblInputSheet[[#This Row],[Logic (ms)]] = "", "", tblInputSheet[[#This Row],[Logic (ms)]]), "")</f>
        <v>5</v>
      </c>
      <c r="Q21" s="9">
        <f>IFERROR(IF(tblInputSheet[[#This Row],[Rules (ms)]] = "", "", tblInputSheet[[#This Row],[Rules (ms)]]), "")</f>
        <v>0</v>
      </c>
      <c r="R21" s="9">
        <f>IFERROR(IF(tblInputSheet[[#This Row],[Latency (ms)]] = "", "", tblInputSheet[[#This Row],[Latency (ms)]]), "")</f>
        <v>1</v>
      </c>
      <c r="S21" s="9">
        <f>IFERROR(SUM(tblDisplaySheet[[#This Row],[DB Calls (ms)]:[Latency (ms)]]), "")</f>
        <v>7</v>
      </c>
      <c r="T21" s="9">
        <f>IFERROR(tblDisplaySheet[[#This Row],[Time of Function / Call]]*tblDisplaySheet[[#This Row],[Count of Invocations]], "")</f>
        <v>7</v>
      </c>
      <c r="U21" s="8">
        <v>3890</v>
      </c>
      <c r="V21" s="8">
        <f>IFERROR(IF(tblInputSheet[[#This Row],[Process NFR]] = "", "", tblInputSheet[[#This Row],[Process NFR]]), "")</f>
        <v>10</v>
      </c>
      <c r="W21" s="8">
        <f>tblDisplaySheet[[#This Row],[Process NFR]]*tblDisplaySheet[[#This Row],[Count of Invocations]]</f>
        <v>10</v>
      </c>
      <c r="X21" s="8">
        <v>4238</v>
      </c>
      <c r="Y21" s="8">
        <f>tblDisplaySheet[[#This Row],[Total Process Path Length NFR]]-tblDisplaySheet[[#This Row],[Total Process Path Length]]</f>
        <v>348</v>
      </c>
      <c r="Z21" s="8" t="str">
        <f>IF(tblDisplaySheet[[#This Row],[Difference]]&gt;=0, "On Target", "Off Target")</f>
        <v>On Target</v>
      </c>
      <c r="AA21" s="8" t="str">
        <f>IFERROR(IF(tblInputSheet[[#This Row],[Is Leaf ?]] = "-", "", tblInputSheet[[#This Row],[Is Leaf ?]]), "")</f>
        <v>N</v>
      </c>
      <c r="AB21" s="8" t="str">
        <f>IFERROR(IF(tblInputSheet[[#This Row],[Owner]] = "", "", tblInputSheet[[#This Row],[Owner]]), "")</f>
        <v>Alak</v>
      </c>
      <c r="AC21" s="8" t="s">
        <v>73</v>
      </c>
      <c r="AD21" s="9" t="s">
        <v>73</v>
      </c>
    </row>
    <row r="22" spans="1:30" ht="18.75" customHeight="1" x14ac:dyDescent="0.25">
      <c r="A22" s="8">
        <f>IFERROR(IF(tblInputSheet[[#This Row],[Link]] = "", "", tblInputSheet[[#This Row],[Link]]), "")</f>
        <v>19</v>
      </c>
      <c r="B22" s="9">
        <f>IFERROR(IF(tblInputSheet[[#This Row],[Level]] = "", "", tblInputSheet[[#This Row],[Level]]), "")</f>
        <v>4</v>
      </c>
      <c r="C22" s="9">
        <f>IFERROR(IF(tblInputSheet[[#This Row],[Sl.No]] = "", "", tblInputSheet[[#This Row],[Sl.No]]), "")</f>
        <v>20</v>
      </c>
      <c r="D22" s="9" t="str">
        <f>IFERROR(IF(tblInputSheet[[#This Row],[Group]] = "", "", tblInputSheet[[#This Row],[Group]]), "")</f>
        <v>Service Level</v>
      </c>
      <c r="E22" s="9" t="str">
        <f>IFERROR(IF(tblInputSheet[[#This Row],[Process]] = "", "", REPT("*",Display!$B22)&amp;""&amp;tblInputSheet[[#This Row],[Process]]), "")</f>
        <v>****ITS Module</v>
      </c>
      <c r="F22" s="9" t="str">
        <f>IFERROR(IF(tblInputSheet[[#This Row],[Hosted Platform]] = "", "", tblInputSheet[[#This Row],[Hosted Platform]]), "")</f>
        <v>Legacy BC</v>
      </c>
      <c r="G22" s="9" t="str">
        <f>IFERROR(IF(tblInputSheet[[#This Row],[Provider]] = "-", "", tblInputSheet[[#This Row],[Provider]]), "")</f>
        <v>Claims-Legacy</v>
      </c>
      <c r="H22" s="9" t="str">
        <f>IFERROR(IF(tblInputSheet[[#This Row],[Consumer]] = "-", "", tblInputSheet[[#This Row],[Consumer]]), "")</f>
        <v>Claims-Legacy</v>
      </c>
      <c r="I22" s="9" t="str">
        <f>IFERROR(IF(tblInputSheet[[#This Row],[Integration Pattern]] = "-", "", tblInputSheet[[#This Row],[Integration Pattern]]), "")</f>
        <v>BC Internal</v>
      </c>
      <c r="J22" s="9" t="str">
        <f>IFERROR(IF(tblInputSheet[[#This Row],[Current State]] = "-", "", tblInputSheet[[#This Row],[Current State]]), "")</f>
        <v>Y</v>
      </c>
      <c r="K22" s="9" t="str">
        <f>IFERROR(IF(tblInputSheet[[#This Row],[End State]] = "-", "", tblInputSheet[[#This Row],[End State]]), "")</f>
        <v>N</v>
      </c>
      <c r="L22" s="9" t="str">
        <f>IFERROR(IF(tblInputSheet[[#This Row],[MVP]] = "-", "", tblInputSheet[[#This Row],[MVP]]), "")</f>
        <v>Y</v>
      </c>
      <c r="M22" s="9" t="str">
        <f>IFERROR(IF(tblInputSheet[[#This Row],[Confidence Factor]] = "-", "", VLOOKUP(tblInputSheet[[#This Row],[Confidence Factor]], tblConfidenceFactor[], 3,FALSE)), "")</f>
        <v>Low</v>
      </c>
      <c r="N22" s="9">
        <f>IFERROR(IF(tblInputSheet[[#This Row],[Count of Invocations]] = "", "", tblInputSheet[[#This Row],[Count of Invocations]]), "")</f>
        <v>1</v>
      </c>
      <c r="O22" s="9">
        <f>IFERROR(IF(tblInputSheet[[#This Row],[DB Calls (ms)]] = "", "", tblInputSheet[[#This Row],[DB Calls (ms)]]), "")</f>
        <v>1</v>
      </c>
      <c r="P22" s="9">
        <f>IFERROR(IF(tblInputSheet[[#This Row],[Logic (ms)]] = "", "", tblInputSheet[[#This Row],[Logic (ms)]]), "")</f>
        <v>5</v>
      </c>
      <c r="Q22" s="9">
        <f>IFERROR(IF(tblInputSheet[[#This Row],[Rules (ms)]] = "", "", tblInputSheet[[#This Row],[Rules (ms)]]), "")</f>
        <v>0</v>
      </c>
      <c r="R22" s="9">
        <f>IFERROR(IF(tblInputSheet[[#This Row],[Latency (ms)]] = "", "", tblInputSheet[[#This Row],[Latency (ms)]]), "")</f>
        <v>1</v>
      </c>
      <c r="S22" s="9">
        <f>IFERROR(SUM(tblDisplaySheet[[#This Row],[DB Calls (ms)]:[Latency (ms)]]), "")</f>
        <v>7</v>
      </c>
      <c r="T22" s="9">
        <f>IFERROR(tblDisplaySheet[[#This Row],[Time of Function / Call]]*tblDisplaySheet[[#This Row],[Count of Invocations]], "")</f>
        <v>7</v>
      </c>
      <c r="U22" s="8">
        <v>7</v>
      </c>
      <c r="V22" s="8">
        <f>IFERROR(IF(tblInputSheet[[#This Row],[Process NFR]] = "", "", tblInputSheet[[#This Row],[Process NFR]]), "")</f>
        <v>10</v>
      </c>
      <c r="W22" s="8">
        <f>tblDisplaySheet[[#This Row],[Process NFR]]*tblDisplaySheet[[#This Row],[Count of Invocations]]</f>
        <v>10</v>
      </c>
      <c r="X22" s="8">
        <v>10</v>
      </c>
      <c r="Y22" s="8">
        <f>tblDisplaySheet[[#This Row],[Total Process Path Length NFR]]-tblDisplaySheet[[#This Row],[Total Process Path Length]]</f>
        <v>3</v>
      </c>
      <c r="Z22" s="8" t="str">
        <f>IF(tblDisplaySheet[[#This Row],[Difference]]&gt;=0, "On Target", "Off Target")</f>
        <v>On Target</v>
      </c>
      <c r="AA22" s="8" t="str">
        <f>IFERROR(IF(tblInputSheet[[#This Row],[Is Leaf ?]] = "-", "", tblInputSheet[[#This Row],[Is Leaf ?]]), "")</f>
        <v>Y</v>
      </c>
      <c r="AB22" s="8" t="str">
        <f>IFERROR(IF(tblInputSheet[[#This Row],[Owner]] = "", "", tblInputSheet[[#This Row],[Owner]]), "")</f>
        <v>Alak</v>
      </c>
      <c r="AC22" s="8" t="s">
        <v>20</v>
      </c>
      <c r="AD22" s="9" t="s">
        <v>20</v>
      </c>
    </row>
    <row r="23" spans="1:30" ht="19.5" customHeight="1" x14ac:dyDescent="0.25">
      <c r="A23" s="8">
        <f>IFERROR(IF(tblInputSheet[[#This Row],[Link]] = "", "", tblInputSheet[[#This Row],[Link]]), "")</f>
        <v>19</v>
      </c>
      <c r="B23" s="9">
        <f>IFERROR(IF(tblInputSheet[[#This Row],[Level]] = "", "", tblInputSheet[[#This Row],[Level]]), "")</f>
        <v>4</v>
      </c>
      <c r="C23" s="9">
        <f>IFERROR(IF(tblInputSheet[[#This Row],[Sl.No]] = "", "", tblInputSheet[[#This Row],[Sl.No]]), "")</f>
        <v>21</v>
      </c>
      <c r="D23" s="9" t="str">
        <f>IFERROR(IF(tblInputSheet[[#This Row],[Group]] = "", "", tblInputSheet[[#This Row],[Group]]), "")</f>
        <v>Service Level</v>
      </c>
      <c r="E23" s="9" t="str">
        <f>IFERROR(IF(tblInputSheet[[#This Row],[Process]] = "", "", REPT("*",Display!$B23)&amp;""&amp;tblInputSheet[[#This Row],[Process]]), "")</f>
        <v>****TPL Select</v>
      </c>
      <c r="F23" s="9" t="str">
        <f>IFERROR(IF(tblInputSheet[[#This Row],[Hosted Platform]] = "", "", tblInputSheet[[#This Row],[Hosted Platform]]), "")</f>
        <v>Legacy BC</v>
      </c>
      <c r="G23" s="9" t="str">
        <f>IFERROR(IF(tblInputSheet[[#This Row],[Provider]] = "-", "", tblInputSheet[[#This Row],[Provider]]), "")</f>
        <v>Claims-Legacy</v>
      </c>
      <c r="H23" s="9" t="str">
        <f>IFERROR(IF(tblInputSheet[[#This Row],[Consumer]] = "-", "", tblInputSheet[[#This Row],[Consumer]]), "")</f>
        <v>Claims-Legacy</v>
      </c>
      <c r="I23" s="9" t="str">
        <f>IFERROR(IF(tblInputSheet[[#This Row],[Integration Pattern]] = "-", "", tblInputSheet[[#This Row],[Integration Pattern]]), "")</f>
        <v>BC Internal</v>
      </c>
      <c r="J23" s="9" t="str">
        <f>IFERROR(IF(tblInputSheet[[#This Row],[Current State]] = "-", "", tblInputSheet[[#This Row],[Current State]]), "")</f>
        <v>Y</v>
      </c>
      <c r="K23" s="9" t="str">
        <f>IFERROR(IF(tblInputSheet[[#This Row],[End State]] = "-", "", tblInputSheet[[#This Row],[End State]]), "")</f>
        <v>N</v>
      </c>
      <c r="L23" s="9" t="str">
        <f>IFERROR(IF(tblInputSheet[[#This Row],[MVP]] = "-", "", tblInputSheet[[#This Row],[MVP]]), "")</f>
        <v>Y</v>
      </c>
      <c r="M23" s="9" t="str">
        <f>IFERROR(IF(tblInputSheet[[#This Row],[Confidence Factor]] = "-", "", VLOOKUP(tblInputSheet[[#This Row],[Confidence Factor]], tblConfidenceFactor[], 3,FALSE)), "")</f>
        <v>Low</v>
      </c>
      <c r="N23" s="9">
        <f>IFERROR(IF(tblInputSheet[[#This Row],[Count of Invocations]] = "", "", tblInputSheet[[#This Row],[Count of Invocations]]), "")</f>
        <v>1</v>
      </c>
      <c r="O23" s="9">
        <f>IFERROR(IF(tblInputSheet[[#This Row],[DB Calls (ms)]] = "", "", tblInputSheet[[#This Row],[DB Calls (ms)]]), "")</f>
        <v>1</v>
      </c>
      <c r="P23" s="9">
        <f>IFERROR(IF(tblInputSheet[[#This Row],[Logic (ms)]] = "", "", tblInputSheet[[#This Row],[Logic (ms)]]), "")</f>
        <v>5</v>
      </c>
      <c r="Q23" s="9">
        <f>IFERROR(IF(tblInputSheet[[#This Row],[Rules (ms)]] = "", "", tblInputSheet[[#This Row],[Rules (ms)]]), "")</f>
        <v>0</v>
      </c>
      <c r="R23" s="9">
        <f>IFERROR(IF(tblInputSheet[[#This Row],[Latency (ms)]] = "", "", tblInputSheet[[#This Row],[Latency (ms)]]), "")</f>
        <v>1</v>
      </c>
      <c r="S23" s="9">
        <f>IFERROR(SUM(tblDisplaySheet[[#This Row],[DB Calls (ms)]:[Latency (ms)]]), "")</f>
        <v>7</v>
      </c>
      <c r="T23" s="9">
        <f>IFERROR(tblDisplaySheet[[#This Row],[Time of Function / Call]]*tblDisplaySheet[[#This Row],[Count of Invocations]], "")</f>
        <v>7</v>
      </c>
      <c r="U23" s="8">
        <v>7</v>
      </c>
      <c r="V23" s="8">
        <f>IFERROR(IF(tblInputSheet[[#This Row],[Process NFR]] = "", "", tblInputSheet[[#This Row],[Process NFR]]), "")</f>
        <v>10</v>
      </c>
      <c r="W23" s="8">
        <f>tblDisplaySheet[[#This Row],[Process NFR]]*tblDisplaySheet[[#This Row],[Count of Invocations]]</f>
        <v>10</v>
      </c>
      <c r="X23" s="8">
        <v>10</v>
      </c>
      <c r="Y23" s="8">
        <f>tblDisplaySheet[[#This Row],[Total Process Path Length NFR]]-tblDisplaySheet[[#This Row],[Total Process Path Length]]</f>
        <v>3</v>
      </c>
      <c r="Z23" s="8" t="str">
        <f>IF(tblDisplaySheet[[#This Row],[Difference]]&gt;=0, "On Target", "Off Target")</f>
        <v>On Target</v>
      </c>
      <c r="AA23" s="8" t="str">
        <f>IFERROR(IF(tblInputSheet[[#This Row],[Is Leaf ?]] = "-", "", tblInputSheet[[#This Row],[Is Leaf ?]]), "")</f>
        <v>Y</v>
      </c>
      <c r="AB23" s="8" t="str">
        <f>IFERROR(IF(tblInputSheet[[#This Row],[Owner]] = "", "", tblInputSheet[[#This Row],[Owner]]), "")</f>
        <v>Alak</v>
      </c>
      <c r="AC23" s="8" t="s">
        <v>20</v>
      </c>
      <c r="AD23" s="9" t="s">
        <v>20</v>
      </c>
    </row>
    <row r="24" spans="1:30" x14ac:dyDescent="0.25">
      <c r="A24" s="8">
        <f>IFERROR(IF(tblInputSheet[[#This Row],[Link]] = "", "", tblInputSheet[[#This Row],[Link]]), "")</f>
        <v>19</v>
      </c>
      <c r="B24" s="9">
        <f>IFERROR(IF(tblInputSheet[[#This Row],[Level]] = "", "", tblInputSheet[[#This Row],[Level]]), "")</f>
        <v>4</v>
      </c>
      <c r="C24" s="9">
        <f>IFERROR(IF(tblInputSheet[[#This Row],[Sl.No]] = "", "", tblInputSheet[[#This Row],[Sl.No]]), "")</f>
        <v>22</v>
      </c>
      <c r="D24" s="9" t="str">
        <f>IFERROR(IF(tblInputSheet[[#This Row],[Group]] = "", "", tblInputSheet[[#This Row],[Group]]), "")</f>
        <v>Service Level</v>
      </c>
      <c r="E24" s="9" t="str">
        <f>IFERROR(IF(tblInputSheet[[#This Row],[Process]] = "", "", REPT("*",Display!$B24)&amp;""&amp;tblInputSheet[[#This Row],[Process]]), "")</f>
        <v xml:space="preserve">****Service Level Mule Adapter </v>
      </c>
      <c r="F24" s="9" t="str">
        <f>IFERROR(IF(tblInputSheet[[#This Row],[Hosted Platform]] = "", "", tblInputSheet[[#This Row],[Hosted Platform]]), "")</f>
        <v>Mule ESB</v>
      </c>
      <c r="G24" s="9" t="str">
        <f>IFERROR(IF(tblInputSheet[[#This Row],[Provider]] = "-", "", tblInputSheet[[#This Row],[Provider]]), "")</f>
        <v>Key-Claims Adjudication</v>
      </c>
      <c r="H24" s="9" t="str">
        <f>IFERROR(IF(tblInputSheet[[#This Row],[Consumer]] = "-", "", tblInputSheet[[#This Row],[Consumer]]), "")</f>
        <v>Key-Claims Adjudication</v>
      </c>
      <c r="I24" s="9" t="str">
        <f>IFERROR(IF(tblInputSheet[[#This Row],[Integration Pattern]] = "-", "", tblInputSheet[[#This Row],[Integration Pattern]]), "")</f>
        <v>ESB - MQ Integration</v>
      </c>
      <c r="J24" s="9" t="str">
        <f>IFERROR(IF(tblInputSheet[[#This Row],[Current State]] = "-", "", tblInputSheet[[#This Row],[Current State]]), "")</f>
        <v>Y</v>
      </c>
      <c r="K24" s="9" t="str">
        <f>IFERROR(IF(tblInputSheet[[#This Row],[End State]] = "-", "", tblInputSheet[[#This Row],[End State]]), "")</f>
        <v>N</v>
      </c>
      <c r="L24" s="9" t="str">
        <f>IFERROR(IF(tblInputSheet[[#This Row],[MVP]] = "-", "", tblInputSheet[[#This Row],[MVP]]), "")</f>
        <v>Y</v>
      </c>
      <c r="M24" s="9" t="str">
        <f>IFERROR(IF(tblInputSheet[[#This Row],[Confidence Factor]] = "-", "", VLOOKUP(tblInputSheet[[#This Row],[Confidence Factor]], tblConfidenceFactor[], 3,FALSE)), "")</f>
        <v>Low</v>
      </c>
      <c r="N24" s="9">
        <f>IFERROR(IF(tblInputSheet[[#This Row],[Count of Invocations]] = "", "", tblInputSheet[[#This Row],[Count of Invocations]]), "")</f>
        <v>1</v>
      </c>
      <c r="O24" s="9">
        <f>IFERROR(IF(tblInputSheet[[#This Row],[DB Calls (ms)]] = "", "", tblInputSheet[[#This Row],[DB Calls (ms)]]), "")</f>
        <v>0</v>
      </c>
      <c r="P24" s="9">
        <f>IFERROR(IF(tblInputSheet[[#This Row],[Logic (ms)]] = "", "", tblInputSheet[[#This Row],[Logic (ms)]]), "")</f>
        <v>40</v>
      </c>
      <c r="Q24" s="9">
        <f>IFERROR(IF(tblInputSheet[[#This Row],[Rules (ms)]] = "", "", tblInputSheet[[#This Row],[Rules (ms)]]), "")</f>
        <v>0</v>
      </c>
      <c r="R24" s="9">
        <f>IFERROR(IF(tblInputSheet[[#This Row],[Latency (ms)]] = "", "", tblInputSheet[[#This Row],[Latency (ms)]]), "")</f>
        <v>25</v>
      </c>
      <c r="S24" s="9">
        <f>IFERROR(SUM(tblDisplaySheet[[#This Row],[DB Calls (ms)]:[Latency (ms)]]), "")</f>
        <v>65</v>
      </c>
      <c r="T24" s="9">
        <f>IFERROR(tblDisplaySheet[[#This Row],[Time of Function / Call]]*tblDisplaySheet[[#This Row],[Count of Invocations]], "")</f>
        <v>65</v>
      </c>
      <c r="U24" s="8">
        <v>3819</v>
      </c>
      <c r="V24" s="8">
        <f>IFERROR(IF(tblInputSheet[[#This Row],[Process NFR]] = "", "", tblInputSheet[[#This Row],[Process NFR]]), "")</f>
        <v>65</v>
      </c>
      <c r="W24" s="8">
        <f>tblDisplaySheet[[#This Row],[Process NFR]]*tblDisplaySheet[[#This Row],[Count of Invocations]]</f>
        <v>65</v>
      </c>
      <c r="X24" s="8">
        <v>4158</v>
      </c>
      <c r="Y24" s="8">
        <f>tblDisplaySheet[[#This Row],[Total Process Path Length NFR]]-tblDisplaySheet[[#This Row],[Total Process Path Length]]</f>
        <v>339</v>
      </c>
      <c r="Z24" s="8" t="str">
        <f>IF(tblDisplaySheet[[#This Row],[Difference]]&gt;=0, "On Target", "Off Target")</f>
        <v>On Target</v>
      </c>
      <c r="AA24" s="8" t="str">
        <f>IFERROR(IF(tblInputSheet[[#This Row],[Is Leaf ?]] = "-", "", tblInputSheet[[#This Row],[Is Leaf ?]]), "")</f>
        <v>N</v>
      </c>
      <c r="AB24" s="8" t="str">
        <f>IFERROR(IF(tblInputSheet[[#This Row],[Owner]] = "", "", tblInputSheet[[#This Row],[Owner]]), "")</f>
        <v>Alak</v>
      </c>
      <c r="AC24" s="8" t="s">
        <v>73</v>
      </c>
      <c r="AD24" s="9" t="s">
        <v>20</v>
      </c>
    </row>
    <row r="25" spans="1:30" x14ac:dyDescent="0.25">
      <c r="A25" s="8">
        <f>IFERROR(IF(tblInputSheet[[#This Row],[Link]] = "", "", tblInputSheet[[#This Row],[Link]]), "")</f>
        <v>22</v>
      </c>
      <c r="B25" s="9">
        <f>IFERROR(IF(tblInputSheet[[#This Row],[Level]] = "", "", tblInputSheet[[#This Row],[Level]]), "")</f>
        <v>5</v>
      </c>
      <c r="C25" s="9">
        <f>IFERROR(IF(tblInputSheet[[#This Row],[Sl.No]] = "", "", tblInputSheet[[#This Row],[Sl.No]]), "")</f>
        <v>23</v>
      </c>
      <c r="D25" s="9" t="str">
        <f>IFERROR(IF(tblInputSheet[[#This Row],[Group]] = "", "", tblInputSheet[[#This Row],[Group]]), "")</f>
        <v>Service Level</v>
      </c>
      <c r="E25" s="9" t="str">
        <f>IFERROR(IF(tblInputSheet[[#This Row],[Process]] = "", "", REPT("*",Display!$B25)&amp;""&amp;tblInputSheet[[#This Row],[Process]]), "")</f>
        <v>*****Claim Adjudication Primier Microservice</v>
      </c>
      <c r="F25" s="9" t="str">
        <f>IFERROR(IF(tblInputSheet[[#This Row],[Hosted Platform]] = "", "", tblInputSheet[[#This Row],[Hosted Platform]]), "")</f>
        <v>PCF</v>
      </c>
      <c r="G25" s="9" t="str">
        <f>IFERROR(IF(tblInputSheet[[#This Row],[Provider]] = "-", "", tblInputSheet[[#This Row],[Provider]]), "")</f>
        <v>Key-Claims Adjudication</v>
      </c>
      <c r="H25" s="9" t="str">
        <f>IFERROR(IF(tblInputSheet[[#This Row],[Consumer]] = "-", "", tblInputSheet[[#This Row],[Consumer]]), "")</f>
        <v>Key-Claims Adjudication</v>
      </c>
      <c r="I25" s="9" t="str">
        <f>IFERROR(IF(tblInputSheet[[#This Row],[Integration Pattern]] = "-", "", tblInputSheet[[#This Row],[Integration Pattern]]), "")</f>
        <v>PCF Internal (C-to-C)</v>
      </c>
      <c r="J25" s="9" t="str">
        <f>IFERROR(IF(tblInputSheet[[#This Row],[Current State]] = "-", "", tblInputSheet[[#This Row],[Current State]]), "")</f>
        <v>Y</v>
      </c>
      <c r="K25" s="9" t="str">
        <f>IFERROR(IF(tblInputSheet[[#This Row],[End State]] = "-", "", tblInputSheet[[#This Row],[End State]]), "")</f>
        <v>Y</v>
      </c>
      <c r="L25" s="9" t="str">
        <f>IFERROR(IF(tblInputSheet[[#This Row],[MVP]] = "-", "", tblInputSheet[[#This Row],[MVP]]), "")</f>
        <v>Y</v>
      </c>
      <c r="M25" s="9" t="str">
        <f>IFERROR(IF(tblInputSheet[[#This Row],[Confidence Factor]] = "-", "", VLOOKUP(tblInputSheet[[#This Row],[Confidence Factor]], tblConfidenceFactor[], 3,FALSE)), "")</f>
        <v>Medium</v>
      </c>
      <c r="N25" s="9">
        <f>IFERROR(IF(tblInputSheet[[#This Row],[Count of Invocations]] = "", "", tblInputSheet[[#This Row],[Count of Invocations]]), "")</f>
        <v>1</v>
      </c>
      <c r="O25" s="9">
        <f>IFERROR(IF(tblInputSheet[[#This Row],[DB Calls (ms)]] = "", "", tblInputSheet[[#This Row],[DB Calls (ms)]]), "")</f>
        <v>1</v>
      </c>
      <c r="P25" s="9">
        <f>IFERROR(IF(tblInputSheet[[#This Row],[Logic (ms)]] = "", "", tblInputSheet[[#This Row],[Logic (ms)]]), "")</f>
        <v>1</v>
      </c>
      <c r="Q25" s="9">
        <f>IFERROR(IF(tblInputSheet[[#This Row],[Rules (ms)]] = "", "", tblInputSheet[[#This Row],[Rules (ms)]]), "")</f>
        <v>1</v>
      </c>
      <c r="R25" s="9">
        <f>IFERROR(IF(tblInputSheet[[#This Row],[Latency (ms)]] = "", "", tblInputSheet[[#This Row],[Latency (ms)]]), "")</f>
        <v>5</v>
      </c>
      <c r="S25" s="9">
        <f>IFERROR(SUM(tblDisplaySheet[[#This Row],[DB Calls (ms)]:[Latency (ms)]]), "")</f>
        <v>8</v>
      </c>
      <c r="T25" s="9">
        <f>IFERROR(tblDisplaySheet[[#This Row],[Time of Function / Call]]*tblDisplaySheet[[#This Row],[Count of Invocations]], "")</f>
        <v>8</v>
      </c>
      <c r="U25" s="8">
        <v>3754</v>
      </c>
      <c r="V25" s="8">
        <f>IFERROR(IF(tblInputSheet[[#This Row],[Process NFR]] = "", "", tblInputSheet[[#This Row],[Process NFR]]), "")</f>
        <v>10</v>
      </c>
      <c r="W25" s="8">
        <f>tblDisplaySheet[[#This Row],[Process NFR]]*tblDisplaySheet[[#This Row],[Count of Invocations]]</f>
        <v>10</v>
      </c>
      <c r="X25" s="8">
        <v>4093</v>
      </c>
      <c r="Y25" s="8">
        <f>tblDisplaySheet[[#This Row],[Total Process Path Length NFR]]-tblDisplaySheet[[#This Row],[Total Process Path Length]]</f>
        <v>339</v>
      </c>
      <c r="Z25" s="8" t="str">
        <f>IF(tblDisplaySheet[[#This Row],[Difference]]&gt;=0, "On Target", "Off Target")</f>
        <v>On Target</v>
      </c>
      <c r="AA25" s="8" t="str">
        <f>IFERROR(IF(tblInputSheet[[#This Row],[Is Leaf ?]] = "-", "", tblInputSheet[[#This Row],[Is Leaf ?]]), "")</f>
        <v>N</v>
      </c>
      <c r="AB25" s="8" t="str">
        <f>IFERROR(IF(tblInputSheet[[#This Row],[Owner]] = "", "", tblInputSheet[[#This Row],[Owner]]), "")</f>
        <v>Alak</v>
      </c>
      <c r="AC25" s="8" t="s">
        <v>73</v>
      </c>
      <c r="AD25" s="9" t="s">
        <v>20</v>
      </c>
    </row>
    <row r="26" spans="1:30" x14ac:dyDescent="0.25">
      <c r="A26" s="8">
        <f>IFERROR(IF(tblInputSheet[[#This Row],[Link]] = "", "", tblInputSheet[[#This Row],[Link]]), "")</f>
        <v>23</v>
      </c>
      <c r="B26" s="9">
        <f>IFERROR(IF(tblInputSheet[[#This Row],[Level]] = "", "", tblInputSheet[[#This Row],[Level]]), "")</f>
        <v>6</v>
      </c>
      <c r="C26" s="9">
        <f>IFERROR(IF(tblInputSheet[[#This Row],[Sl.No]] = "", "", tblInputSheet[[#This Row],[Sl.No]]), "")</f>
        <v>24</v>
      </c>
      <c r="D26" s="9" t="str">
        <f>IFERROR(IF(tblInputSheet[[#This Row],[Group]] = "", "", tblInputSheet[[#This Row],[Group]]), "")</f>
        <v>Service Level</v>
      </c>
      <c r="E26" s="9" t="str">
        <f>IFERROR(IF(tblInputSheet[[#This Row],[Process]] = "", "", REPT("*",Display!$B26)&amp;""&amp;tblInputSheet[[#This Row],[Process]]), "")</f>
        <v>******Claim Adjudication Sequencer Microservice</v>
      </c>
      <c r="F26" s="9" t="str">
        <f>IFERROR(IF(tblInputSheet[[#This Row],[Hosted Platform]] = "", "", tblInputSheet[[#This Row],[Hosted Platform]]), "")</f>
        <v>PCF</v>
      </c>
      <c r="G26" s="9" t="str">
        <f>IFERROR(IF(tblInputSheet[[#This Row],[Provider]] = "-", "", tblInputSheet[[#This Row],[Provider]]), "")</f>
        <v>Key-Claims Adjudication</v>
      </c>
      <c r="H26" s="9" t="str">
        <f>IFERROR(IF(tblInputSheet[[#This Row],[Consumer]] = "-", "", tblInputSheet[[#This Row],[Consumer]]), "")</f>
        <v>Key-Claims Adjudication</v>
      </c>
      <c r="I26" s="9" t="str">
        <f>IFERROR(IF(tblInputSheet[[#This Row],[Integration Pattern]] = "-", "", tblInputSheet[[#This Row],[Integration Pattern]]), "")</f>
        <v>PCF Internal (C-to-C)</v>
      </c>
      <c r="J26" s="9" t="str">
        <f>IFERROR(IF(tblInputSheet[[#This Row],[Current State]] = "-", "", tblInputSheet[[#This Row],[Current State]]), "")</f>
        <v>Y</v>
      </c>
      <c r="K26" s="9" t="str">
        <f>IFERROR(IF(tblInputSheet[[#This Row],[End State]] = "-", "", tblInputSheet[[#This Row],[End State]]), "")</f>
        <v>Y</v>
      </c>
      <c r="L26" s="9" t="str">
        <f>IFERROR(IF(tblInputSheet[[#This Row],[MVP]] = "-", "", tblInputSheet[[#This Row],[MVP]]), "")</f>
        <v>Y</v>
      </c>
      <c r="M26" s="9" t="str">
        <f>IFERROR(IF(tblInputSheet[[#This Row],[Confidence Factor]] = "-", "", VLOOKUP(tblInputSheet[[#This Row],[Confidence Factor]], tblConfidenceFactor[], 3,FALSE)), "")</f>
        <v>Medium</v>
      </c>
      <c r="N26" s="9">
        <f>IFERROR(IF(tblInputSheet[[#This Row],[Count of Invocations]] = "", "", tblInputSheet[[#This Row],[Count of Invocations]]), "")</f>
        <v>1</v>
      </c>
      <c r="O26" s="9">
        <f>IFERROR(IF(tblInputSheet[[#This Row],[DB Calls (ms)]] = "", "", tblInputSheet[[#This Row],[DB Calls (ms)]]), "")</f>
        <v>1</v>
      </c>
      <c r="P26" s="9">
        <f>IFERROR(IF(tblInputSheet[[#This Row],[Logic (ms)]] = "", "", tblInputSheet[[#This Row],[Logic (ms)]]), "")</f>
        <v>1</v>
      </c>
      <c r="Q26" s="9">
        <f>IFERROR(IF(tblInputSheet[[#This Row],[Rules (ms)]] = "", "", tblInputSheet[[#This Row],[Rules (ms)]]), "")</f>
        <v>1</v>
      </c>
      <c r="R26" s="9">
        <f>IFERROR(IF(tblInputSheet[[#This Row],[Latency (ms)]] = "", "", tblInputSheet[[#This Row],[Latency (ms)]]), "")</f>
        <v>5</v>
      </c>
      <c r="S26" s="9">
        <f>IFERROR(SUM(tblDisplaySheet[[#This Row],[DB Calls (ms)]:[Latency (ms)]]), "")</f>
        <v>8</v>
      </c>
      <c r="T26" s="9">
        <f>IFERROR(tblDisplaySheet[[#This Row],[Time of Function / Call]]*tblDisplaySheet[[#This Row],[Count of Invocations]], "")</f>
        <v>8</v>
      </c>
      <c r="U26" s="8">
        <v>3746</v>
      </c>
      <c r="V26" s="8">
        <f>IFERROR(IF(tblInputSheet[[#This Row],[Process NFR]] = "", "", tblInputSheet[[#This Row],[Process NFR]]), "")</f>
        <v>10</v>
      </c>
      <c r="W26" s="8">
        <f>tblDisplaySheet[[#This Row],[Process NFR]]*tblDisplaySheet[[#This Row],[Count of Invocations]]</f>
        <v>10</v>
      </c>
      <c r="X26" s="8">
        <v>4083</v>
      </c>
      <c r="Y26" s="8">
        <f>tblDisplaySheet[[#This Row],[Total Process Path Length NFR]]-tblDisplaySheet[[#This Row],[Total Process Path Length]]</f>
        <v>337</v>
      </c>
      <c r="Z26" s="8" t="str">
        <f>IF(tblDisplaySheet[[#This Row],[Difference]]&gt;=0, "On Target", "Off Target")</f>
        <v>On Target</v>
      </c>
      <c r="AA26" s="8" t="str">
        <f>IFERROR(IF(tblInputSheet[[#This Row],[Is Leaf ?]] = "-", "", tblInputSheet[[#This Row],[Is Leaf ?]]), "")</f>
        <v>N</v>
      </c>
      <c r="AB26" s="8" t="str">
        <f>IFERROR(IF(tblInputSheet[[#This Row],[Owner]] = "", "", tblInputSheet[[#This Row],[Owner]]), "")</f>
        <v>Alak</v>
      </c>
      <c r="AC26" s="8" t="s">
        <v>73</v>
      </c>
      <c r="AD26" s="9" t="s">
        <v>20</v>
      </c>
    </row>
    <row r="27" spans="1:30" x14ac:dyDescent="0.25">
      <c r="A27" s="8">
        <f>IFERROR(IF(tblInputSheet[[#This Row],[Link]] = "", "", tblInputSheet[[#This Row],[Link]]), "")</f>
        <v>24</v>
      </c>
      <c r="B27" s="9">
        <f>IFERROR(IF(tblInputSheet[[#This Row],[Level]] = "", "", tblInputSheet[[#This Row],[Level]]), "")</f>
        <v>7</v>
      </c>
      <c r="C27" s="9">
        <f>IFERROR(IF(tblInputSheet[[#This Row],[Sl.No]] = "", "", tblInputSheet[[#This Row],[Sl.No]]), "")</f>
        <v>25</v>
      </c>
      <c r="D27" s="9" t="str">
        <f>IFERROR(IF(tblInputSheet[[#This Row],[Group]] = "", "", tblInputSheet[[#This Row],[Group]]), "")</f>
        <v>Service Level - BD</v>
      </c>
      <c r="E27" s="9" t="str">
        <f>IFERROR(IF(tblInputSheet[[#This Row],[Process]] = "", "", REPT("*",Display!$B27)&amp;""&amp;tblInputSheet[[#This Row],[Process]]), "")</f>
        <v xml:space="preserve">*******BD </v>
      </c>
      <c r="F27" s="9" t="str">
        <f>IFERROR(IF(tblInputSheet[[#This Row],[Hosted Platform]] = "", "", tblInputSheet[[#This Row],[Hosted Platform]]), "")</f>
        <v>Business Process</v>
      </c>
      <c r="G27" s="9" t="str">
        <f>IFERROR(IF(tblInputSheet[[#This Row],[Provider]] = "-", "", tblInputSheet[[#This Row],[Provider]]), "")</f>
        <v>NA</v>
      </c>
      <c r="H27" s="9" t="str">
        <f>IFERROR(IF(tblInputSheet[[#This Row],[Consumer]] = "-", "", tblInputSheet[[#This Row],[Consumer]]), "")</f>
        <v>NA</v>
      </c>
      <c r="I27" s="9" t="str">
        <f>IFERROR(IF(tblInputSheet[[#This Row],[Integration Pattern]] = "-", "", tblInputSheet[[#This Row],[Integration Pattern]]), "")</f>
        <v>Group</v>
      </c>
      <c r="J27" s="9" t="str">
        <f>IFERROR(IF(tblInputSheet[[#This Row],[Current State]] = "-", "", tblInputSheet[[#This Row],[Current State]]), "")</f>
        <v>Y</v>
      </c>
      <c r="K27" s="9" t="str">
        <f>IFERROR(IF(tblInputSheet[[#This Row],[End State]] = "-", "", tblInputSheet[[#This Row],[End State]]), "")</f>
        <v>Y</v>
      </c>
      <c r="L27" s="9" t="str">
        <f>IFERROR(IF(tblInputSheet[[#This Row],[MVP]] = "-", "", tblInputSheet[[#This Row],[MVP]]), "")</f>
        <v>Y</v>
      </c>
      <c r="M27" s="9" t="str">
        <f>IFERROR(IF(tblInputSheet[[#This Row],[Confidence Factor]] = "-", "", VLOOKUP(tblInputSheet[[#This Row],[Confidence Factor]], tblConfidenceFactor[], 3,FALSE)), "")</f>
        <v>Group</v>
      </c>
      <c r="N27" s="9">
        <f>IFERROR(IF(tblInputSheet[[#This Row],[Count of Invocations]] = "", "", tblInputSheet[[#This Row],[Count of Invocations]]), "")</f>
        <v>1</v>
      </c>
      <c r="O27" s="9">
        <f>IFERROR(IF(tblInputSheet[[#This Row],[DB Calls (ms)]] = "", "", tblInputSheet[[#This Row],[DB Calls (ms)]]), "")</f>
        <v>0</v>
      </c>
      <c r="P27" s="9">
        <f>IFERROR(IF(tblInputSheet[[#This Row],[Logic (ms)]] = "", "", tblInputSheet[[#This Row],[Logic (ms)]]), "")</f>
        <v>0</v>
      </c>
      <c r="Q27" s="9">
        <f>IFERROR(IF(tblInputSheet[[#This Row],[Rules (ms)]] = "", "", tblInputSheet[[#This Row],[Rules (ms)]]), "")</f>
        <v>0</v>
      </c>
      <c r="R27" s="9">
        <f>IFERROR(IF(tblInputSheet[[#This Row],[Latency (ms)]] = "", "", tblInputSheet[[#This Row],[Latency (ms)]]), "")</f>
        <v>0</v>
      </c>
      <c r="S27" s="9">
        <f>IFERROR(SUM(tblDisplaySheet[[#This Row],[DB Calls (ms)]:[Latency (ms)]]), "")</f>
        <v>0</v>
      </c>
      <c r="T27" s="9">
        <f>IFERROR(tblDisplaySheet[[#This Row],[Time of Function / Call]]*tblDisplaySheet[[#This Row],[Count of Invocations]], "")</f>
        <v>0</v>
      </c>
      <c r="U27" s="8">
        <v>740</v>
      </c>
      <c r="V27" s="8">
        <f>IFERROR(IF(tblInputSheet[[#This Row],[Process NFR]] = "", "", tblInputSheet[[#This Row],[Process NFR]]), "")</f>
        <v>0</v>
      </c>
      <c r="W27" s="8">
        <f>tblDisplaySheet[[#This Row],[Process NFR]]*tblDisplaySheet[[#This Row],[Count of Invocations]]</f>
        <v>0</v>
      </c>
      <c r="X27" s="8">
        <v>835</v>
      </c>
      <c r="Y27" s="8">
        <f>tblDisplaySheet[[#This Row],[Total Process Path Length NFR]]-tblDisplaySheet[[#This Row],[Total Process Path Length]]</f>
        <v>95</v>
      </c>
      <c r="Z27" s="8" t="str">
        <f>IF(tblDisplaySheet[[#This Row],[Difference]]&gt;=0, "On Target", "Off Target")</f>
        <v>On Target</v>
      </c>
      <c r="AA27" s="8" t="str">
        <f>IFERROR(IF(tblInputSheet[[#This Row],[Is Leaf ?]] = "-", "", tblInputSheet[[#This Row],[Is Leaf ?]]), "")</f>
        <v>G</v>
      </c>
      <c r="AB27" s="8" t="str">
        <f>IFERROR(IF(tblInputSheet[[#This Row],[Owner]] = "", "", tblInputSheet[[#This Row],[Owner]]), "")</f>
        <v>Sankar</v>
      </c>
      <c r="AC27" s="8" t="s">
        <v>73</v>
      </c>
      <c r="AD27" s="9" t="s">
        <v>20</v>
      </c>
    </row>
    <row r="28" spans="1:30" x14ac:dyDescent="0.25">
      <c r="A28" s="8">
        <f>IFERROR(IF(tblInputSheet[[#This Row],[Link]] = "", "", tblInputSheet[[#This Row],[Link]]), "")</f>
        <v>25</v>
      </c>
      <c r="B28" s="9">
        <f>IFERROR(IF(tblInputSheet[[#This Row],[Level]] = "", "", tblInputSheet[[#This Row],[Level]]), "")</f>
        <v>8</v>
      </c>
      <c r="C28" s="9">
        <f>IFERROR(IF(tblInputSheet[[#This Row],[Sl.No]] = "", "", tblInputSheet[[#This Row],[Sl.No]]), "")</f>
        <v>26</v>
      </c>
      <c r="D28" s="9" t="str">
        <f>IFERROR(IF(tblInputSheet[[#This Row],[Group]] = "", "", tblInputSheet[[#This Row],[Group]]), "")</f>
        <v>Service Level - BD</v>
      </c>
      <c r="E28" s="9" t="str">
        <f>IFERROR(IF(tblInputSheet[[#This Row],[Process]] = "", "", REPT("*",Display!$B28)&amp;""&amp;tblInputSheet[[#This Row],[Process]]), "")</f>
        <v>********Benefit Determination Service</v>
      </c>
      <c r="F28" s="9" t="str">
        <f>IFERROR(IF(tblInputSheet[[#This Row],[Hosted Platform]] = "", "", tblInputSheet[[#This Row],[Hosted Platform]]), "")</f>
        <v>PCF</v>
      </c>
      <c r="G28" s="9" t="str">
        <f>IFERROR(IF(tblInputSheet[[#This Row],[Provider]] = "-", "", tblInputSheet[[#This Row],[Provider]]), "")</f>
        <v>Key-Claims Adjudication</v>
      </c>
      <c r="H28" s="9" t="str">
        <f>IFERROR(IF(tblInputSheet[[#This Row],[Consumer]] = "-", "", tblInputSheet[[#This Row],[Consumer]]), "")</f>
        <v>Key-Claims Adjudication</v>
      </c>
      <c r="I28" s="9" t="str">
        <f>IFERROR(IF(tblInputSheet[[#This Row],[Integration Pattern]] = "-", "", tblInputSheet[[#This Row],[Integration Pattern]]), "")</f>
        <v>PCF Internal (C-to-C)</v>
      </c>
      <c r="J28" s="9" t="str">
        <f>IFERROR(IF(tblInputSheet[[#This Row],[Current State]] = "-", "", tblInputSheet[[#This Row],[Current State]]), "")</f>
        <v>Y</v>
      </c>
      <c r="K28" s="9" t="str">
        <f>IFERROR(IF(tblInputSheet[[#This Row],[End State]] = "-", "", tblInputSheet[[#This Row],[End State]]), "")</f>
        <v>Y</v>
      </c>
      <c r="L28" s="9" t="str">
        <f>IFERROR(IF(tblInputSheet[[#This Row],[MVP]] = "-", "", tblInputSheet[[#This Row],[MVP]]), "")</f>
        <v>Y</v>
      </c>
      <c r="M28" s="9" t="str">
        <f>IFERROR(IF(tblInputSheet[[#This Row],[Confidence Factor]] = "-", "", VLOOKUP(tblInputSheet[[#This Row],[Confidence Factor]], tblConfidenceFactor[], 3,FALSE)), "")</f>
        <v>Medium</v>
      </c>
      <c r="N28" s="9">
        <f>IFERROR(IF(tblInputSheet[[#This Row],[Count of Invocations]] = "", "", tblInputSheet[[#This Row],[Count of Invocations]]), "")</f>
        <v>1</v>
      </c>
      <c r="O28" s="9">
        <f>IFERROR(IF(tblInputSheet[[#This Row],[DB Calls (ms)]] = "", "", tblInputSheet[[#This Row],[DB Calls (ms)]]), "")</f>
        <v>1</v>
      </c>
      <c r="P28" s="9">
        <f>IFERROR(IF(tblInputSheet[[#This Row],[Logic (ms)]] = "", "", tblInputSheet[[#This Row],[Logic (ms)]]), "")</f>
        <v>20</v>
      </c>
      <c r="Q28" s="9">
        <f>IFERROR(IF(tblInputSheet[[#This Row],[Rules (ms)]] = "", "", tblInputSheet[[#This Row],[Rules (ms)]]), "")</f>
        <v>0</v>
      </c>
      <c r="R28" s="9">
        <f>IFERROR(IF(tblInputSheet[[#This Row],[Latency (ms)]] = "", "", tblInputSheet[[#This Row],[Latency (ms)]]), "")</f>
        <v>5</v>
      </c>
      <c r="S28" s="9">
        <f>IFERROR(SUM(tblDisplaySheet[[#This Row],[DB Calls (ms)]:[Latency (ms)]]), "")</f>
        <v>26</v>
      </c>
      <c r="T28" s="9">
        <f>IFERROR(tblDisplaySheet[[#This Row],[Time of Function / Call]]*tblDisplaySheet[[#This Row],[Count of Invocations]], "")</f>
        <v>26</v>
      </c>
      <c r="U28" s="8">
        <v>740</v>
      </c>
      <c r="V28" s="8">
        <f>IFERROR(IF(tblInputSheet[[#This Row],[Process NFR]] = "", "", tblInputSheet[[#This Row],[Process NFR]]), "")</f>
        <v>30</v>
      </c>
      <c r="W28" s="8">
        <f>tblDisplaySheet[[#This Row],[Process NFR]]*tblDisplaySheet[[#This Row],[Count of Invocations]]</f>
        <v>30</v>
      </c>
      <c r="X28" s="8">
        <v>835</v>
      </c>
      <c r="Y28" s="8">
        <f>tblDisplaySheet[[#This Row],[Total Process Path Length NFR]]-tblDisplaySheet[[#This Row],[Total Process Path Length]]</f>
        <v>95</v>
      </c>
      <c r="Z28" s="8" t="str">
        <f>IF(tblDisplaySheet[[#This Row],[Difference]]&gt;=0, "On Target", "Off Target")</f>
        <v>On Target</v>
      </c>
      <c r="AA28" s="8" t="str">
        <f>IFERROR(IF(tblInputSheet[[#This Row],[Is Leaf ?]] = "-", "", tblInputSheet[[#This Row],[Is Leaf ?]]), "")</f>
        <v>N</v>
      </c>
      <c r="AB28" s="8" t="str">
        <f>IFERROR(IF(tblInputSheet[[#This Row],[Owner]] = "", "", tblInputSheet[[#This Row],[Owner]]), "")</f>
        <v>Sankar</v>
      </c>
      <c r="AC28" s="8" t="s">
        <v>73</v>
      </c>
      <c r="AD28" s="9" t="s">
        <v>20</v>
      </c>
    </row>
    <row r="29" spans="1:30" x14ac:dyDescent="0.25">
      <c r="A29" s="8">
        <f>IFERROR(IF(tblInputSheet[[#This Row],[Link]] = "", "", tblInputSheet[[#This Row],[Link]]), "")</f>
        <v>26</v>
      </c>
      <c r="B29" s="9">
        <f>IFERROR(IF(tblInputSheet[[#This Row],[Level]] = "", "", tblInputSheet[[#This Row],[Level]]), "")</f>
        <v>9</v>
      </c>
      <c r="C29" s="9">
        <f>IFERROR(IF(tblInputSheet[[#This Row],[Sl.No]] = "", "", tblInputSheet[[#This Row],[Sl.No]]), "")</f>
        <v>27</v>
      </c>
      <c r="D29" s="9" t="str">
        <f>IFERROR(IF(tblInputSheet[[#This Row],[Group]] = "", "", tblInputSheet[[#This Row],[Group]]), "")</f>
        <v>Service Level - BD</v>
      </c>
      <c r="E29" s="9" t="str">
        <f>IFERROR(IF(tblInputSheet[[#This Row],[Process]] = "", "", REPT("*",Display!$B29)&amp;""&amp;tblInputSheet[[#This Row],[Process]]), "")</f>
        <v>*********Contract API</v>
      </c>
      <c r="F29" s="9" t="str">
        <f>IFERROR(IF(tblInputSheet[[#This Row],[Hosted Platform]] = "", "", tblInputSheet[[#This Row],[Hosted Platform]]), "")</f>
        <v>PCF</v>
      </c>
      <c r="G29" s="9" t="str">
        <f>IFERROR(IF(tblInputSheet[[#This Row],[Provider]] = "-", "", tblInputSheet[[#This Row],[Provider]]), "")</f>
        <v>Key-Claims Adjudication</v>
      </c>
      <c r="H29" s="9" t="str">
        <f>IFERROR(IF(tblInputSheet[[#This Row],[Consumer]] = "-", "", tblInputSheet[[#This Row],[Consumer]]), "")</f>
        <v>Key-Claims Adjudication</v>
      </c>
      <c r="I29" s="9" t="str">
        <f>IFERROR(IF(tblInputSheet[[#This Row],[Integration Pattern]] = "-", "", tblInputSheet[[#This Row],[Integration Pattern]]), "")</f>
        <v>PCF Internal (C-to-C)</v>
      </c>
      <c r="J29" s="9" t="str">
        <f>IFERROR(IF(tblInputSheet[[#This Row],[Current State]] = "-", "", tblInputSheet[[#This Row],[Current State]]), "")</f>
        <v>Y</v>
      </c>
      <c r="K29" s="9" t="str">
        <f>IFERROR(IF(tblInputSheet[[#This Row],[End State]] = "-", "", tblInputSheet[[#This Row],[End State]]), "")</f>
        <v>Y</v>
      </c>
      <c r="L29" s="9" t="str">
        <f>IFERROR(IF(tblInputSheet[[#This Row],[MVP]] = "-", "", tblInputSheet[[#This Row],[MVP]]), "")</f>
        <v>Y</v>
      </c>
      <c r="M29" s="9" t="str">
        <f>IFERROR(IF(tblInputSheet[[#This Row],[Confidence Factor]] = "-", "", VLOOKUP(tblInputSheet[[#This Row],[Confidence Factor]], tblConfidenceFactor[], 3,FALSE)), "")</f>
        <v>Medium</v>
      </c>
      <c r="N29" s="9">
        <f>IFERROR(IF(tblInputSheet[[#This Row],[Count of Invocations]] = "", "", tblInputSheet[[#This Row],[Count of Invocations]]), "")</f>
        <v>1</v>
      </c>
      <c r="O29" s="9">
        <f>IFERROR(IF(tblInputSheet[[#This Row],[DB Calls (ms)]] = "", "", tblInputSheet[[#This Row],[DB Calls (ms)]]), "")</f>
        <v>5</v>
      </c>
      <c r="P29" s="9">
        <f>IFERROR(IF(tblInputSheet[[#This Row],[Logic (ms)]] = "", "", tblInputSheet[[#This Row],[Logic (ms)]]), "")</f>
        <v>30</v>
      </c>
      <c r="Q29" s="9">
        <f>IFERROR(IF(tblInputSheet[[#This Row],[Rules (ms)]] = "", "", tblInputSheet[[#This Row],[Rules (ms)]]), "")</f>
        <v>0</v>
      </c>
      <c r="R29" s="9">
        <f>IFERROR(IF(tblInputSheet[[#This Row],[Latency (ms)]] = "", "", tblInputSheet[[#This Row],[Latency (ms)]]), "")</f>
        <v>10</v>
      </c>
      <c r="S29" s="9">
        <f>IFERROR(SUM(tblDisplaySheet[[#This Row],[DB Calls (ms)]:[Latency (ms)]]), "")</f>
        <v>45</v>
      </c>
      <c r="T29" s="9">
        <f>IFERROR(tblDisplaySheet[[#This Row],[Time of Function / Call]]*tblDisplaySheet[[#This Row],[Count of Invocations]], "")</f>
        <v>45</v>
      </c>
      <c r="U29" s="8">
        <v>45</v>
      </c>
      <c r="V29" s="8">
        <f>IFERROR(IF(tblInputSheet[[#This Row],[Process NFR]] = "", "", tblInputSheet[[#This Row],[Process NFR]]), "")</f>
        <v>50</v>
      </c>
      <c r="W29" s="8">
        <f>tblDisplaySheet[[#This Row],[Process NFR]]*tblDisplaySheet[[#This Row],[Count of Invocations]]</f>
        <v>50</v>
      </c>
      <c r="X29" s="8">
        <v>50</v>
      </c>
      <c r="Y29" s="8">
        <f>tblDisplaySheet[[#This Row],[Total Process Path Length NFR]]-tblDisplaySheet[[#This Row],[Total Process Path Length]]</f>
        <v>5</v>
      </c>
      <c r="Z29" s="8" t="str">
        <f>IF(tblDisplaySheet[[#This Row],[Difference]]&gt;=0, "On Target", "Off Target")</f>
        <v>On Target</v>
      </c>
      <c r="AA29" s="8" t="str">
        <f>IFERROR(IF(tblInputSheet[[#This Row],[Is Leaf ?]] = "-", "", tblInputSheet[[#This Row],[Is Leaf ?]]), "")</f>
        <v>Y</v>
      </c>
      <c r="AB29" s="8" t="str">
        <f>IFERROR(IF(tblInputSheet[[#This Row],[Owner]] = "", "", tblInputSheet[[#This Row],[Owner]]), "")</f>
        <v>Greg</v>
      </c>
      <c r="AC29" s="8" t="s">
        <v>20</v>
      </c>
      <c r="AD29" s="9" t="s">
        <v>20</v>
      </c>
    </row>
    <row r="30" spans="1:30" x14ac:dyDescent="0.25">
      <c r="A30" s="8">
        <f>IFERROR(IF(tblInputSheet[[#This Row],[Link]] = "", "", tblInputSheet[[#This Row],[Link]]), "")</f>
        <v>26</v>
      </c>
      <c r="B30" s="9">
        <f>IFERROR(IF(tblInputSheet[[#This Row],[Level]] = "", "", tblInputSheet[[#This Row],[Level]]), "")</f>
        <v>9</v>
      </c>
      <c r="C30" s="9">
        <f>IFERROR(IF(tblInputSheet[[#This Row],[Sl.No]] = "", "", tblInputSheet[[#This Row],[Sl.No]]), "")</f>
        <v>28</v>
      </c>
      <c r="D30" s="9" t="str">
        <f>IFERROR(IF(tblInputSheet[[#This Row],[Group]] = "", "", tblInputSheet[[#This Row],[Group]]), "")</f>
        <v>Service Level - BD</v>
      </c>
      <c r="E30" s="9" t="str">
        <f>IFERROR(IF(tblInputSheet[[#This Row],[Process]] = "", "", REPT("*",Display!$B30)&amp;""&amp;tblInputSheet[[#This Row],[Process]]), "")</f>
        <v>*********Medical Policy Check Service</v>
      </c>
      <c r="F30" s="9" t="str">
        <f>IFERROR(IF(tblInputSheet[[#This Row],[Hosted Platform]] = "", "", tblInputSheet[[#This Row],[Hosted Platform]]), "")</f>
        <v>PCF</v>
      </c>
      <c r="G30" s="9" t="str">
        <f>IFERROR(IF(tblInputSheet[[#This Row],[Provider]] = "-", "", tblInputSheet[[#This Row],[Provider]]), "")</f>
        <v>Key-Claims Adjudication</v>
      </c>
      <c r="H30" s="9" t="str">
        <f>IFERROR(IF(tblInputSheet[[#This Row],[Consumer]] = "-", "", tblInputSheet[[#This Row],[Consumer]]), "")</f>
        <v>Key-Claims Adjudication</v>
      </c>
      <c r="I30" s="9" t="str">
        <f>IFERROR(IF(tblInputSheet[[#This Row],[Integration Pattern]] = "-", "", tblInputSheet[[#This Row],[Integration Pattern]]), "")</f>
        <v>REST Service - ESB</v>
      </c>
      <c r="J30" s="9" t="str">
        <f>IFERROR(IF(tblInputSheet[[#This Row],[Current State]] = "-", "", tblInputSheet[[#This Row],[Current State]]), "")</f>
        <v>Y</v>
      </c>
      <c r="K30" s="9" t="str">
        <f>IFERROR(IF(tblInputSheet[[#This Row],[End State]] = "-", "", tblInputSheet[[#This Row],[End State]]), "")</f>
        <v>Y</v>
      </c>
      <c r="L30" s="9" t="str">
        <f>IFERROR(IF(tblInputSheet[[#This Row],[MVP]] = "-", "", tblInputSheet[[#This Row],[MVP]]), "")</f>
        <v>Y</v>
      </c>
      <c r="M30" s="9" t="str">
        <f>IFERROR(IF(tblInputSheet[[#This Row],[Confidence Factor]] = "-", "", VLOOKUP(tblInputSheet[[#This Row],[Confidence Factor]], tblConfidenceFactor[], 3,FALSE)), "")</f>
        <v>Medium</v>
      </c>
      <c r="N30" s="9">
        <f>IFERROR(IF(tblInputSheet[[#This Row],[Count of Invocations]] = "", "", tblInputSheet[[#This Row],[Count of Invocations]]), "")</f>
        <v>1</v>
      </c>
      <c r="O30" s="9">
        <f>IFERROR(IF(tblInputSheet[[#This Row],[DB Calls (ms)]] = "", "", tblInputSheet[[#This Row],[DB Calls (ms)]]), "")</f>
        <v>0</v>
      </c>
      <c r="P30" s="9">
        <f>IFERROR(IF(tblInputSheet[[#This Row],[Logic (ms)]] = "", "", tblInputSheet[[#This Row],[Logic (ms)]]), "")</f>
        <v>2</v>
      </c>
      <c r="Q30" s="9">
        <f>IFERROR(IF(tblInputSheet[[#This Row],[Rules (ms)]] = "", "", tblInputSheet[[#This Row],[Rules (ms)]]), "")</f>
        <v>0</v>
      </c>
      <c r="R30" s="9">
        <f>IFERROR(IF(tblInputSheet[[#This Row],[Latency (ms)]] = "", "", tblInputSheet[[#This Row],[Latency (ms)]]), "")</f>
        <v>10</v>
      </c>
      <c r="S30" s="9">
        <f>IFERROR(SUM(tblDisplaySheet[[#This Row],[DB Calls (ms)]:[Latency (ms)]]), "")</f>
        <v>12</v>
      </c>
      <c r="T30" s="9">
        <f>IFERROR(tblDisplaySheet[[#This Row],[Time of Function / Call]]*tblDisplaySheet[[#This Row],[Count of Invocations]], "")</f>
        <v>12</v>
      </c>
      <c r="U30" s="8">
        <v>107</v>
      </c>
      <c r="V30" s="8">
        <f>IFERROR(IF(tblInputSheet[[#This Row],[Process NFR]] = "", "", tblInputSheet[[#This Row],[Process NFR]]), "")</f>
        <v>15</v>
      </c>
      <c r="W30" s="8">
        <f>tblDisplaySheet[[#This Row],[Process NFR]]*tblDisplaySheet[[#This Row],[Count of Invocations]]</f>
        <v>15</v>
      </c>
      <c r="X30" s="8">
        <v>120</v>
      </c>
      <c r="Y30" s="8">
        <f>tblDisplaySheet[[#This Row],[Total Process Path Length NFR]]-tblDisplaySheet[[#This Row],[Total Process Path Length]]</f>
        <v>13</v>
      </c>
      <c r="Z30" s="8" t="str">
        <f>IF(tblDisplaySheet[[#This Row],[Difference]]&gt;=0, "On Target", "Off Target")</f>
        <v>On Target</v>
      </c>
      <c r="AA30" s="8" t="str">
        <f>IFERROR(IF(tblInputSheet[[#This Row],[Is Leaf ?]] = "-", "", tblInputSheet[[#This Row],[Is Leaf ?]]), "")</f>
        <v>N</v>
      </c>
      <c r="AB30" s="8" t="str">
        <f>IFERROR(IF(tblInputSheet[[#This Row],[Owner]] = "", "", tblInputSheet[[#This Row],[Owner]]), "")</f>
        <v>Sankar</v>
      </c>
      <c r="AC30" s="8" t="s">
        <v>73</v>
      </c>
      <c r="AD30" s="9" t="s">
        <v>20</v>
      </c>
    </row>
    <row r="31" spans="1:30" ht="30" x14ac:dyDescent="0.25">
      <c r="A31" s="8">
        <f>IFERROR(IF(tblInputSheet[[#This Row],[Link]] = "", "", tblInputSheet[[#This Row],[Link]]), "")</f>
        <v>28</v>
      </c>
      <c r="B31" s="9">
        <f>IFERROR(IF(tblInputSheet[[#This Row],[Level]] = "", "", tblInputSheet[[#This Row],[Level]]), "")</f>
        <v>10</v>
      </c>
      <c r="C31" s="9">
        <f>IFERROR(IF(tblInputSheet[[#This Row],[Sl.No]] = "", "", tblInputSheet[[#This Row],[Sl.No]]), "")</f>
        <v>29</v>
      </c>
      <c r="D31" s="9" t="str">
        <f>IFERROR(IF(tblInputSheet[[#This Row],[Group]] = "", "", tblInputSheet[[#This Row],[Group]]), "")</f>
        <v>Service Level - BD</v>
      </c>
      <c r="E31" s="9" t="str">
        <f>IFERROR(IF(tblInputSheet[[#This Row],[Process]] = "", "", REPT("*",Display!$B31)&amp;""&amp;tblInputSheet[[#This Row],[Process]]), "")</f>
        <v>**********Medical Policy Mule Adapter</v>
      </c>
      <c r="F31" s="9" t="str">
        <f>IFERROR(IF(tblInputSheet[[#This Row],[Hosted Platform]] = "", "", tblInputSheet[[#This Row],[Hosted Platform]]), "")</f>
        <v>Mule ESB</v>
      </c>
      <c r="G31" s="9" t="str">
        <f>IFERROR(IF(tblInputSheet[[#This Row],[Provider]] = "-", "", tblInputSheet[[#This Row],[Provider]]), "")</f>
        <v>Key-Claims Adjudication</v>
      </c>
      <c r="H31" s="9" t="str">
        <f>IFERROR(IF(tblInputSheet[[#This Row],[Consumer]] = "-", "", tblInputSheet[[#This Row],[Consumer]]), "")</f>
        <v>Key-Claims Adjudication</v>
      </c>
      <c r="I31" s="9" t="str">
        <f>IFERROR(IF(tblInputSheet[[#This Row],[Integration Pattern]] = "-", "", tblInputSheet[[#This Row],[Integration Pattern]]), "")</f>
        <v>ESB - MQ Integration</v>
      </c>
      <c r="J31" s="9" t="str">
        <f>IFERROR(IF(tblInputSheet[[#This Row],[Current State]] = "-", "", tblInputSheet[[#This Row],[Current State]]), "")</f>
        <v>Y</v>
      </c>
      <c r="K31" s="9" t="str">
        <f>IFERROR(IF(tblInputSheet[[#This Row],[End State]] = "-", "", tblInputSheet[[#This Row],[End State]]), "")</f>
        <v>N</v>
      </c>
      <c r="L31" s="9" t="str">
        <f>IFERROR(IF(tblInputSheet[[#This Row],[MVP]] = "-", "", tblInputSheet[[#This Row],[MVP]]), "")</f>
        <v>Y</v>
      </c>
      <c r="M31" s="9" t="str">
        <f>IFERROR(IF(tblInputSheet[[#This Row],[Confidence Factor]] = "-", "", VLOOKUP(tblInputSheet[[#This Row],[Confidence Factor]], tblConfidenceFactor[], 3,FALSE)), "")</f>
        <v>Low</v>
      </c>
      <c r="N31" s="9">
        <f>IFERROR(IF(tblInputSheet[[#This Row],[Count of Invocations]] = "", "", tblInputSheet[[#This Row],[Count of Invocations]]), "")</f>
        <v>1</v>
      </c>
      <c r="O31" s="9">
        <f>IFERROR(IF(tblInputSheet[[#This Row],[DB Calls (ms)]] = "", "", tblInputSheet[[#This Row],[DB Calls (ms)]]), "")</f>
        <v>0</v>
      </c>
      <c r="P31" s="9">
        <f>IFERROR(IF(tblInputSheet[[#This Row],[Logic (ms)]] = "", "", tblInputSheet[[#This Row],[Logic (ms)]]), "")</f>
        <v>45</v>
      </c>
      <c r="Q31" s="9">
        <f>IFERROR(IF(tblInputSheet[[#This Row],[Rules (ms)]] = "", "", tblInputSheet[[#This Row],[Rules (ms)]]), "")</f>
        <v>0</v>
      </c>
      <c r="R31" s="9">
        <f>IFERROR(IF(tblInputSheet[[#This Row],[Latency (ms)]] = "", "", tblInputSheet[[#This Row],[Latency (ms)]]), "")</f>
        <v>30</v>
      </c>
      <c r="S31" s="9">
        <f>IFERROR(SUM(tblDisplaySheet[[#This Row],[DB Calls (ms)]:[Latency (ms)]]), "")</f>
        <v>75</v>
      </c>
      <c r="T31" s="9">
        <f>IFERROR(tblDisplaySheet[[#This Row],[Time of Function / Call]]*tblDisplaySheet[[#This Row],[Count of Invocations]], "")</f>
        <v>75</v>
      </c>
      <c r="U31" s="8">
        <v>95</v>
      </c>
      <c r="V31" s="8">
        <f>IFERROR(IF(tblInputSheet[[#This Row],[Process NFR]] = "", "", tblInputSheet[[#This Row],[Process NFR]]), "")</f>
        <v>75</v>
      </c>
      <c r="W31" s="8">
        <f>tblDisplaySheet[[#This Row],[Process NFR]]*tblDisplaySheet[[#This Row],[Count of Invocations]]</f>
        <v>75</v>
      </c>
      <c r="X31" s="8">
        <v>105</v>
      </c>
      <c r="Y31" s="8">
        <f>tblDisplaySheet[[#This Row],[Total Process Path Length NFR]]-tblDisplaySheet[[#This Row],[Total Process Path Length]]</f>
        <v>10</v>
      </c>
      <c r="Z31" s="8" t="str">
        <f>IF(tblDisplaySheet[[#This Row],[Difference]]&gt;=0, "On Target", "Off Target")</f>
        <v>On Target</v>
      </c>
      <c r="AA31" s="8" t="str">
        <f>IFERROR(IF(tblInputSheet[[#This Row],[Is Leaf ?]] = "-", "", tblInputSheet[[#This Row],[Is Leaf ?]]), "")</f>
        <v>N</v>
      </c>
      <c r="AB31" s="8" t="str">
        <f>IFERROR(IF(tblInputSheet[[#This Row],[Owner]] = "", "", tblInputSheet[[#This Row],[Owner]]), "")</f>
        <v>Sankar</v>
      </c>
      <c r="AC31" s="8" t="s">
        <v>20</v>
      </c>
      <c r="AD31" s="9" t="s">
        <v>20</v>
      </c>
    </row>
    <row r="32" spans="1:30" x14ac:dyDescent="0.25">
      <c r="A32" s="8">
        <f>IFERROR(IF(tblInputSheet[[#This Row],[Link]] = "", "", tblInputSheet[[#This Row],[Link]]), "")</f>
        <v>29</v>
      </c>
      <c r="B32" s="9">
        <f>IFERROR(IF(tblInputSheet[[#This Row],[Level]] = "", "", tblInputSheet[[#This Row],[Level]]), "")</f>
        <v>11</v>
      </c>
      <c r="C32" s="9">
        <f>IFERROR(IF(tblInputSheet[[#This Row],[Sl.No]] = "", "", tblInputSheet[[#This Row],[Sl.No]]), "")</f>
        <v>30</v>
      </c>
      <c r="D32" s="9" t="str">
        <f>IFERROR(IF(tblInputSheet[[#This Row],[Group]] = "", "", tblInputSheet[[#This Row],[Group]]), "")</f>
        <v>Service Level - BD</v>
      </c>
      <c r="E32" s="9" t="str">
        <f>IFERROR(IF(tblInputSheet[[#This Row],[Process]] = "", "", REPT("*",Display!$B32)&amp;""&amp;tblInputSheet[[#This Row],[Process]]), "")</f>
        <v>***********Legacy Medical Policy Check</v>
      </c>
      <c r="F32" s="9" t="str">
        <f>IFERROR(IF(tblInputSheet[[#This Row],[Hosted Platform]] = "", "", tblInputSheet[[#This Row],[Hosted Platform]]), "")</f>
        <v>Cross-Portfolio</v>
      </c>
      <c r="G32" s="9" t="str">
        <f>IFERROR(IF(tblInputSheet[[#This Row],[Provider]] = "-", "", tblInputSheet[[#This Row],[Provider]]), "")</f>
        <v>Provider</v>
      </c>
      <c r="H32" s="9" t="str">
        <f>IFERROR(IF(tblInputSheet[[#This Row],[Consumer]] = "-", "", tblInputSheet[[#This Row],[Consumer]]), "")</f>
        <v>Claims-Legacy</v>
      </c>
      <c r="I32" s="9" t="str">
        <f>IFERROR(IF(tblInputSheet[[#This Row],[Integration Pattern]] = "-", "", tblInputSheet[[#This Row],[Integration Pattern]]), "")</f>
        <v>BC Internal</v>
      </c>
      <c r="J32" s="9" t="str">
        <f>IFERROR(IF(tblInputSheet[[#This Row],[Current State]] = "-", "", tblInputSheet[[#This Row],[Current State]]), "")</f>
        <v>Y</v>
      </c>
      <c r="K32" s="9" t="str">
        <f>IFERROR(IF(tblInputSheet[[#This Row],[End State]] = "-", "", tblInputSheet[[#This Row],[End State]]), "")</f>
        <v>N</v>
      </c>
      <c r="L32" s="9" t="str">
        <f>IFERROR(IF(tblInputSheet[[#This Row],[MVP]] = "-", "", tblInputSheet[[#This Row],[MVP]]), "")</f>
        <v>Y</v>
      </c>
      <c r="M32" s="9" t="str">
        <f>IFERROR(IF(tblInputSheet[[#This Row],[Confidence Factor]] = "-", "", VLOOKUP(tblInputSheet[[#This Row],[Confidence Factor]], tblConfidenceFactor[], 3,FALSE)), "")</f>
        <v>Low</v>
      </c>
      <c r="N32" s="9">
        <f>IFERROR(IF(tblInputSheet[[#This Row],[Count of Invocations]] = "", "", tblInputSheet[[#This Row],[Count of Invocations]]), "")</f>
        <v>1</v>
      </c>
      <c r="O32" s="9">
        <f>IFERROR(IF(tblInputSheet[[#This Row],[DB Calls (ms)]] = "", "", tblInputSheet[[#This Row],[DB Calls (ms)]]), "")</f>
        <v>0</v>
      </c>
      <c r="P32" s="9">
        <f>IFERROR(IF(tblInputSheet[[#This Row],[Logic (ms)]] = "", "", tblInputSheet[[#This Row],[Logic (ms)]]), "")</f>
        <v>20</v>
      </c>
      <c r="Q32" s="9">
        <f>IFERROR(IF(tblInputSheet[[#This Row],[Rules (ms)]] = "", "", tblInputSheet[[#This Row],[Rules (ms)]]), "")</f>
        <v>0</v>
      </c>
      <c r="R32" s="9">
        <f>IFERROR(IF(tblInputSheet[[#This Row],[Latency (ms)]] = "", "", tblInputSheet[[#This Row],[Latency (ms)]]), "")</f>
        <v>0</v>
      </c>
      <c r="S32" s="9">
        <f>IFERROR(SUM(tblDisplaySheet[[#This Row],[DB Calls (ms)]:[Latency (ms)]]), "")</f>
        <v>20</v>
      </c>
      <c r="T32" s="9">
        <f>IFERROR(tblDisplaySheet[[#This Row],[Time of Function / Call]]*tblDisplaySheet[[#This Row],[Count of Invocations]], "")</f>
        <v>20</v>
      </c>
      <c r="U32" s="8">
        <v>20</v>
      </c>
      <c r="V32" s="8">
        <f>IFERROR(IF(tblInputSheet[[#This Row],[Process NFR]] = "", "", tblInputSheet[[#This Row],[Process NFR]]), "")</f>
        <v>30</v>
      </c>
      <c r="W32" s="8">
        <f>tblDisplaySheet[[#This Row],[Process NFR]]*tblDisplaySheet[[#This Row],[Count of Invocations]]</f>
        <v>30</v>
      </c>
      <c r="X32" s="8">
        <v>30</v>
      </c>
      <c r="Y32" s="8">
        <f>tblDisplaySheet[[#This Row],[Total Process Path Length NFR]]-tblDisplaySheet[[#This Row],[Total Process Path Length]]</f>
        <v>10</v>
      </c>
      <c r="Z32" s="8" t="str">
        <f>IF(tblDisplaySheet[[#This Row],[Difference]]&gt;=0, "On Target", "Off Target")</f>
        <v>On Target</v>
      </c>
      <c r="AA32" s="8" t="str">
        <f>IFERROR(IF(tblInputSheet[[#This Row],[Is Leaf ?]] = "-", "", tblInputSheet[[#This Row],[Is Leaf ?]]), "")</f>
        <v>Y</v>
      </c>
      <c r="AB32" s="8" t="str">
        <f>IFERROR(IF(tblInputSheet[[#This Row],[Owner]] = "", "", tblInputSheet[[#This Row],[Owner]]), "")</f>
        <v>Sankar</v>
      </c>
      <c r="AC32" s="8" t="s">
        <v>20</v>
      </c>
      <c r="AD32" s="9" t="s">
        <v>20</v>
      </c>
    </row>
    <row r="33" spans="1:30" x14ac:dyDescent="0.25">
      <c r="A33" s="8">
        <f>IFERROR(IF(tblInputSheet[[#This Row],[Link]] = "", "", tblInputSheet[[#This Row],[Link]]), "")</f>
        <v>26</v>
      </c>
      <c r="B33" s="9">
        <f>IFERROR(IF(tblInputSheet[[#This Row],[Level]] = "", "", tblInputSheet[[#This Row],[Level]]), "")</f>
        <v>9</v>
      </c>
      <c r="C33" s="9">
        <f>IFERROR(IF(tblInputSheet[[#This Row],[Sl.No]] = "", "", tblInputSheet[[#This Row],[Sl.No]]), "")</f>
        <v>31</v>
      </c>
      <c r="D33" s="9" t="str">
        <f>IFERROR(IF(tblInputSheet[[#This Row],[Group]] = "", "", tblInputSheet[[#This Row],[Group]]), "")</f>
        <v>Service Level - BD</v>
      </c>
      <c r="E33" s="9" t="str">
        <f>IFERROR(IF(tblInputSheet[[#This Row],[Process]] = "", "", REPT("*",Display!$B33)&amp;""&amp;tblInputSheet[[#This Row],[Process]]), "")</f>
        <v>*********DME Event Validation Service</v>
      </c>
      <c r="F33" s="9" t="str">
        <f>IFERROR(IF(tblInputSheet[[#This Row],[Hosted Platform]] = "", "", tblInputSheet[[#This Row],[Hosted Platform]]), "")</f>
        <v>PCF</v>
      </c>
      <c r="G33" s="9" t="str">
        <f>IFERROR(IF(tblInputSheet[[#This Row],[Provider]] = "-", "", tblInputSheet[[#This Row],[Provider]]), "")</f>
        <v>Key-Claims Adjudication</v>
      </c>
      <c r="H33" s="9" t="str">
        <f>IFERROR(IF(tblInputSheet[[#This Row],[Consumer]] = "-", "", tblInputSheet[[#This Row],[Consumer]]), "")</f>
        <v>Key-Claims Adjudication</v>
      </c>
      <c r="I33" s="9" t="str">
        <f>IFERROR(IF(tblInputSheet[[#This Row],[Integration Pattern]] = "-", "", tblInputSheet[[#This Row],[Integration Pattern]]), "")</f>
        <v>PCF Internal (C-to-C)</v>
      </c>
      <c r="J33" s="9" t="str">
        <f>IFERROR(IF(tblInputSheet[[#This Row],[Current State]] = "-", "", tblInputSheet[[#This Row],[Current State]]), "")</f>
        <v>Y</v>
      </c>
      <c r="K33" s="9" t="str">
        <f>IFERROR(IF(tblInputSheet[[#This Row],[End State]] = "-", "", tblInputSheet[[#This Row],[End State]]), "")</f>
        <v>Y</v>
      </c>
      <c r="L33" s="9" t="str">
        <f>IFERROR(IF(tblInputSheet[[#This Row],[MVP]] = "-", "", tblInputSheet[[#This Row],[MVP]]), "")</f>
        <v>Y</v>
      </c>
      <c r="M33" s="9" t="str">
        <f>IFERROR(IF(tblInputSheet[[#This Row],[Confidence Factor]] = "-", "", VLOOKUP(tblInputSheet[[#This Row],[Confidence Factor]], tblConfidenceFactor[], 3,FALSE)), "")</f>
        <v>Medium</v>
      </c>
      <c r="N33" s="9">
        <f>IFERROR(IF(tblInputSheet[[#This Row],[Count of Invocations]] = "", "", tblInputSheet[[#This Row],[Count of Invocations]]), "")</f>
        <v>0</v>
      </c>
      <c r="O33" s="9">
        <f>IFERROR(IF(tblInputSheet[[#This Row],[DB Calls (ms)]] = "", "", tblInputSheet[[#This Row],[DB Calls (ms)]]), "")</f>
        <v>0</v>
      </c>
      <c r="P33" s="9">
        <f>IFERROR(IF(tblInputSheet[[#This Row],[Logic (ms)]] = "", "", tblInputSheet[[#This Row],[Logic (ms)]]), "")</f>
        <v>20</v>
      </c>
      <c r="Q33" s="9">
        <f>IFERROR(IF(tblInputSheet[[#This Row],[Rules (ms)]] = "", "", tblInputSheet[[#This Row],[Rules (ms)]]), "")</f>
        <v>0</v>
      </c>
      <c r="R33" s="9">
        <f>IFERROR(IF(tblInputSheet[[#This Row],[Latency (ms)]] = "", "", tblInputSheet[[#This Row],[Latency (ms)]]), "")</f>
        <v>15</v>
      </c>
      <c r="S33" s="9">
        <f>IFERROR(SUM(tblDisplaySheet[[#This Row],[DB Calls (ms)]:[Latency (ms)]]), "")</f>
        <v>35</v>
      </c>
      <c r="T33" s="9">
        <f>IFERROR(tblDisplaySheet[[#This Row],[Time of Function / Call]]*tblDisplaySheet[[#This Row],[Count of Invocations]], "")</f>
        <v>0</v>
      </c>
      <c r="U33" s="8">
        <v>0</v>
      </c>
      <c r="V33" s="8">
        <f>IFERROR(IF(tblInputSheet[[#This Row],[Process NFR]] = "", "", tblInputSheet[[#This Row],[Process NFR]]), "")</f>
        <v>50</v>
      </c>
      <c r="W33" s="8">
        <f>tblDisplaySheet[[#This Row],[Process NFR]]*tblDisplaySheet[[#This Row],[Count of Invocations]]</f>
        <v>0</v>
      </c>
      <c r="X33" s="8">
        <v>0</v>
      </c>
      <c r="Y33" s="8">
        <f>tblDisplaySheet[[#This Row],[Total Process Path Length NFR]]-tblDisplaySheet[[#This Row],[Total Process Path Length]]</f>
        <v>0</v>
      </c>
      <c r="Z33" s="8" t="str">
        <f>IF(tblDisplaySheet[[#This Row],[Difference]]&gt;=0, "On Target", "Off Target")</f>
        <v>On Target</v>
      </c>
      <c r="AA33" s="8" t="str">
        <f>IFERROR(IF(tblInputSheet[[#This Row],[Is Leaf ?]] = "-", "", tblInputSheet[[#This Row],[Is Leaf ?]]), "")</f>
        <v>Y</v>
      </c>
      <c r="AB33" s="8" t="str">
        <f>IFERROR(IF(tblInputSheet[[#This Row],[Owner]] = "", "", tblInputSheet[[#This Row],[Owner]]), "")</f>
        <v>Sankar</v>
      </c>
      <c r="AC33" s="8" t="s">
        <v>20</v>
      </c>
      <c r="AD33" s="9" t="s">
        <v>20</v>
      </c>
    </row>
    <row r="34" spans="1:30" x14ac:dyDescent="0.25">
      <c r="A34" s="8">
        <f>IFERROR(IF(tblInputSheet[[#This Row],[Link]] = "", "", tblInputSheet[[#This Row],[Link]]), "")</f>
        <v>26</v>
      </c>
      <c r="B34" s="9">
        <f>IFERROR(IF(tblInputSheet[[#This Row],[Level]] = "", "", tblInputSheet[[#This Row],[Level]]), "")</f>
        <v>9</v>
      </c>
      <c r="C34" s="9">
        <f>IFERROR(IF(tblInputSheet[[#This Row],[Sl.No]] = "", "", tblInputSheet[[#This Row],[Sl.No]]), "")</f>
        <v>32</v>
      </c>
      <c r="D34" s="9" t="str">
        <f>IFERROR(IF(tblInputSheet[[#This Row],[Group]] = "", "", tblInputSheet[[#This Row],[Group]]), "")</f>
        <v>Service Level - BD</v>
      </c>
      <c r="E34" s="9" t="str">
        <f>IFERROR(IF(tblInputSheet[[#This Row],[Process]] = "", "", REPT("*",Display!$B34)&amp;""&amp;tblInputSheet[[#This Row],[Process]]), "")</f>
        <v>*********NPI Crosswalk Service</v>
      </c>
      <c r="F34" s="9" t="str">
        <f>IFERROR(IF(tblInputSheet[[#This Row],[Hosted Platform]] = "", "", tblInputSheet[[#This Row],[Hosted Platform]]), "")</f>
        <v>Cross-Portfolio</v>
      </c>
      <c r="G34" s="9" t="str">
        <f>IFERROR(IF(tblInputSheet[[#This Row],[Provider]] = "-", "", tblInputSheet[[#This Row],[Provider]]), "")</f>
        <v>Provider</v>
      </c>
      <c r="H34" s="9" t="str">
        <f>IFERROR(IF(tblInputSheet[[#This Row],[Consumer]] = "-", "", tblInputSheet[[#This Row],[Consumer]]), "")</f>
        <v>Key-Claims Adjudication</v>
      </c>
      <c r="I34" s="9" t="str">
        <f>IFERROR(IF(tblInputSheet[[#This Row],[Integration Pattern]] = "-", "", tblInputSheet[[#This Row],[Integration Pattern]]), "")</f>
        <v>REST Service - SOAP Service</v>
      </c>
      <c r="J34" s="9" t="str">
        <f>IFERROR(IF(tblInputSheet[[#This Row],[Current State]] = "-", "", tblInputSheet[[#This Row],[Current State]]), "")</f>
        <v>Y</v>
      </c>
      <c r="K34" s="9" t="str">
        <f>IFERROR(IF(tblInputSheet[[#This Row],[End State]] = "-", "", tblInputSheet[[#This Row],[End State]]), "")</f>
        <v>Y</v>
      </c>
      <c r="L34" s="9" t="str">
        <f>IFERROR(IF(tblInputSheet[[#This Row],[MVP]] = "-", "", tblInputSheet[[#This Row],[MVP]]), "")</f>
        <v>Y</v>
      </c>
      <c r="M34" s="9" t="str">
        <f>IFERROR(IF(tblInputSheet[[#This Row],[Confidence Factor]] = "-", "", VLOOKUP(tblInputSheet[[#This Row],[Confidence Factor]], tblConfidenceFactor[], 3,FALSE)), "")</f>
        <v>Medium</v>
      </c>
      <c r="N34" s="9">
        <f>IFERROR(IF(tblInputSheet[[#This Row],[Count of Invocations]] = "", "", tblInputSheet[[#This Row],[Count of Invocations]]), "")</f>
        <v>1</v>
      </c>
      <c r="O34" s="9">
        <f>IFERROR(IF(tblInputSheet[[#This Row],[DB Calls (ms)]] = "", "", tblInputSheet[[#This Row],[DB Calls (ms)]]), "")</f>
        <v>1</v>
      </c>
      <c r="P34" s="9">
        <f>IFERROR(IF(tblInputSheet[[#This Row],[Logic (ms)]] = "", "", tblInputSheet[[#This Row],[Logic (ms)]]), "")</f>
        <v>40</v>
      </c>
      <c r="Q34" s="9">
        <f>IFERROR(IF(tblInputSheet[[#This Row],[Rules (ms)]] = "", "", tblInputSheet[[#This Row],[Rules (ms)]]), "")</f>
        <v>0</v>
      </c>
      <c r="R34" s="9">
        <f>IFERROR(IF(tblInputSheet[[#This Row],[Latency (ms)]] = "", "", tblInputSheet[[#This Row],[Latency (ms)]]), "")</f>
        <v>15</v>
      </c>
      <c r="S34" s="9">
        <f>IFERROR(SUM(tblDisplaySheet[[#This Row],[DB Calls (ms)]:[Latency (ms)]]), "")</f>
        <v>56</v>
      </c>
      <c r="T34" s="9">
        <f>IFERROR(tblDisplaySheet[[#This Row],[Time of Function / Call]]*tblDisplaySheet[[#This Row],[Count of Invocations]], "")</f>
        <v>56</v>
      </c>
      <c r="U34" s="8">
        <v>56</v>
      </c>
      <c r="V34" s="8">
        <f>IFERROR(IF(tblInputSheet[[#This Row],[Process NFR]] = "", "", tblInputSheet[[#This Row],[Process NFR]]), "")</f>
        <v>65</v>
      </c>
      <c r="W34" s="8">
        <f>tblDisplaySheet[[#This Row],[Process NFR]]*tblDisplaySheet[[#This Row],[Count of Invocations]]</f>
        <v>65</v>
      </c>
      <c r="X34" s="8">
        <v>65</v>
      </c>
      <c r="Y34" s="8">
        <f>tblDisplaySheet[[#This Row],[Total Process Path Length NFR]]-tblDisplaySheet[[#This Row],[Total Process Path Length]]</f>
        <v>9</v>
      </c>
      <c r="Z34" s="8" t="str">
        <f>IF(tblDisplaySheet[[#This Row],[Difference]]&gt;=0, "On Target", "Off Target")</f>
        <v>On Target</v>
      </c>
      <c r="AA34" s="8" t="str">
        <f>IFERROR(IF(tblInputSheet[[#This Row],[Is Leaf ?]] = "-", "", tblInputSheet[[#This Row],[Is Leaf ?]]), "")</f>
        <v>Y</v>
      </c>
      <c r="AB34" s="8" t="str">
        <f>IFERROR(IF(tblInputSheet[[#This Row],[Owner]] = "", "", tblInputSheet[[#This Row],[Owner]]), "")</f>
        <v>Sankar</v>
      </c>
      <c r="AC34" s="8" t="s">
        <v>20</v>
      </c>
      <c r="AD34" s="9" t="s">
        <v>20</v>
      </c>
    </row>
    <row r="35" spans="1:30" x14ac:dyDescent="0.25">
      <c r="A35" s="8">
        <f>IFERROR(IF(tblInputSheet[[#This Row],[Link]] = "", "", tblInputSheet[[#This Row],[Link]]), "")</f>
        <v>26</v>
      </c>
      <c r="B35" s="9">
        <f>IFERROR(IF(tblInputSheet[[#This Row],[Level]] = "", "", tblInputSheet[[#This Row],[Level]]), "")</f>
        <v>9</v>
      </c>
      <c r="C35" s="9">
        <f>IFERROR(IF(tblInputSheet[[#This Row],[Sl.No]] = "", "", tblInputSheet[[#This Row],[Sl.No]]), "")</f>
        <v>33</v>
      </c>
      <c r="D35" s="9" t="str">
        <f>IFERROR(IF(tblInputSheet[[#This Row],[Group]] = "", "", tblInputSheet[[#This Row],[Group]]), "")</f>
        <v>Service Level - BD</v>
      </c>
      <c r="E35" s="9" t="str">
        <f>IFERROR(IF(tblInputSheet[[#This Row],[Process]] = "", "", REPT("*",Display!$B35)&amp;""&amp;tblInputSheet[[#This Row],[Process]]), "")</f>
        <v>*********Claim Provider Service</v>
      </c>
      <c r="F35" s="9" t="str">
        <f>IFERROR(IF(tblInputSheet[[#This Row],[Hosted Platform]] = "", "", tblInputSheet[[#This Row],[Hosted Platform]]), "")</f>
        <v>PCF</v>
      </c>
      <c r="G35" s="9" t="str">
        <f>IFERROR(IF(tblInputSheet[[#This Row],[Provider]] = "-", "", tblInputSheet[[#This Row],[Provider]]), "")</f>
        <v>Key-Claims Adjudication</v>
      </c>
      <c r="H35" s="9" t="str">
        <f>IFERROR(IF(tblInputSheet[[#This Row],[Consumer]] = "-", "", tblInputSheet[[#This Row],[Consumer]]), "")</f>
        <v>Key-Claims Adjudication</v>
      </c>
      <c r="I35" s="9" t="str">
        <f>IFERROR(IF(tblInputSheet[[#This Row],[Integration Pattern]] = "-", "", tblInputSheet[[#This Row],[Integration Pattern]]), "")</f>
        <v>PCF Internal (C-to-C)</v>
      </c>
      <c r="J35" s="9" t="str">
        <f>IFERROR(IF(tblInputSheet[[#This Row],[Current State]] = "-", "", tblInputSheet[[#This Row],[Current State]]), "")</f>
        <v>Y</v>
      </c>
      <c r="K35" s="9" t="str">
        <f>IFERROR(IF(tblInputSheet[[#This Row],[End State]] = "-", "", tblInputSheet[[#This Row],[End State]]), "")</f>
        <v>Y</v>
      </c>
      <c r="L35" s="9" t="str">
        <f>IFERROR(IF(tblInputSheet[[#This Row],[MVP]] = "-", "", tblInputSheet[[#This Row],[MVP]]), "")</f>
        <v>Y</v>
      </c>
      <c r="M35" s="9" t="str">
        <f>IFERROR(IF(tblInputSheet[[#This Row],[Confidence Factor]] = "-", "", VLOOKUP(tblInputSheet[[#This Row],[Confidence Factor]], tblConfidenceFactor[], 3,FALSE)), "")</f>
        <v>Medium</v>
      </c>
      <c r="N35" s="9">
        <f>IFERROR(IF(tblInputSheet[[#This Row],[Count of Invocations]] = "", "", tblInputSheet[[#This Row],[Count of Invocations]]), "")</f>
        <v>1</v>
      </c>
      <c r="O35" s="9">
        <f>IFERROR(IF(tblInputSheet[[#This Row],[DB Calls (ms)]] = "", "", tblInputSheet[[#This Row],[DB Calls (ms)]]), "")</f>
        <v>1</v>
      </c>
      <c r="P35" s="9">
        <f>IFERROR(IF(tblInputSheet[[#This Row],[Logic (ms)]] = "", "", tblInputSheet[[#This Row],[Logic (ms)]]), "")</f>
        <v>40</v>
      </c>
      <c r="Q35" s="9">
        <f>IFERROR(IF(tblInputSheet[[#This Row],[Rules (ms)]] = "", "", tblInputSheet[[#This Row],[Rules (ms)]]), "")</f>
        <v>0</v>
      </c>
      <c r="R35" s="9">
        <f>IFERROR(IF(tblInputSheet[[#This Row],[Latency (ms)]] = "", "", tblInputSheet[[#This Row],[Latency (ms)]]), "")</f>
        <v>15</v>
      </c>
      <c r="S35" s="9">
        <f>IFERROR(SUM(tblDisplaySheet[[#This Row],[DB Calls (ms)]:[Latency (ms)]]), "")</f>
        <v>56</v>
      </c>
      <c r="T35" s="9">
        <f>IFERROR(tblDisplaySheet[[#This Row],[Time of Function / Call]]*tblDisplaySheet[[#This Row],[Count of Invocations]], "")</f>
        <v>56</v>
      </c>
      <c r="U35" s="8">
        <v>56</v>
      </c>
      <c r="V35" s="8">
        <f>IFERROR(IF(tblInputSheet[[#This Row],[Process NFR]] = "", "", tblInputSheet[[#This Row],[Process NFR]]), "")</f>
        <v>65</v>
      </c>
      <c r="W35" s="8">
        <f>tblDisplaySheet[[#This Row],[Process NFR]]*tblDisplaySheet[[#This Row],[Count of Invocations]]</f>
        <v>65</v>
      </c>
      <c r="X35" s="8">
        <v>65</v>
      </c>
      <c r="Y35" s="8">
        <f>tblDisplaySheet[[#This Row],[Total Process Path Length NFR]]-tblDisplaySheet[[#This Row],[Total Process Path Length]]</f>
        <v>9</v>
      </c>
      <c r="Z35" s="8" t="str">
        <f>IF(tblDisplaySheet[[#This Row],[Difference]]&gt;=0, "On Target", "Off Target")</f>
        <v>On Target</v>
      </c>
      <c r="AA35" s="8" t="str">
        <f>IFERROR(IF(tblInputSheet[[#This Row],[Is Leaf ?]] = "-", "", tblInputSheet[[#This Row],[Is Leaf ?]]), "")</f>
        <v>Y</v>
      </c>
      <c r="AB35" s="8" t="str">
        <f>IFERROR(IF(tblInputSheet[[#This Row],[Owner]] = "", "", tblInputSheet[[#This Row],[Owner]]), "")</f>
        <v>Sankar</v>
      </c>
      <c r="AC35" s="8" t="s">
        <v>20</v>
      </c>
      <c r="AD35" s="9" t="s">
        <v>20</v>
      </c>
    </row>
    <row r="36" spans="1:30" x14ac:dyDescent="0.25">
      <c r="A36" s="8">
        <f>IFERROR(IF(tblInputSheet[[#This Row],[Link]] = "", "", tblInputSheet[[#This Row],[Link]]), "")</f>
        <v>26</v>
      </c>
      <c r="B36" s="9">
        <f>IFERROR(IF(tblInputSheet[[#This Row],[Level]] = "", "", tblInputSheet[[#This Row],[Level]]), "")</f>
        <v>9</v>
      </c>
      <c r="C36" s="9">
        <f>IFERROR(IF(tblInputSheet[[#This Row],[Sl.No]] = "", "", tblInputSheet[[#This Row],[Sl.No]]), "")</f>
        <v>34</v>
      </c>
      <c r="D36" s="9" t="str">
        <f>IFERROR(IF(tblInputSheet[[#This Row],[Group]] = "", "", tblInputSheet[[#This Row],[Group]]), "")</f>
        <v>Service Level - BD</v>
      </c>
      <c r="E36" s="9" t="str">
        <f>IFERROR(IF(tblInputSheet[[#This Row],[Process]] = "", "", REPT("*",Display!$B36)&amp;""&amp;tblInputSheet[[#This Row],[Process]]), "")</f>
        <v>*********Claim Lookup Service(Claim History Service)</v>
      </c>
      <c r="F36" s="9" t="str">
        <f>IFERROR(IF(tblInputSheet[[#This Row],[Hosted Platform]] = "", "", tblInputSheet[[#This Row],[Hosted Platform]]), "")</f>
        <v>PCF</v>
      </c>
      <c r="G36" s="9" t="str">
        <f>IFERROR(IF(tblInputSheet[[#This Row],[Provider]] = "-", "", tblInputSheet[[#This Row],[Provider]]), "")</f>
        <v>Key-Claims Adjudication</v>
      </c>
      <c r="H36" s="9" t="str">
        <f>IFERROR(IF(tblInputSheet[[#This Row],[Consumer]] = "-", "", tblInputSheet[[#This Row],[Consumer]]), "")</f>
        <v>Key-Claims Adjudication</v>
      </c>
      <c r="I36" s="9" t="str">
        <f>IFERROR(IF(tblInputSheet[[#This Row],[Integration Pattern]] = "-", "", tblInputSheet[[#This Row],[Integration Pattern]]), "")</f>
        <v>PCF Internal (C-to-C)</v>
      </c>
      <c r="J36" s="9" t="str">
        <f>IFERROR(IF(tblInputSheet[[#This Row],[Current State]] = "-", "", tblInputSheet[[#This Row],[Current State]]), "")</f>
        <v>Y</v>
      </c>
      <c r="K36" s="9" t="str">
        <f>IFERROR(IF(tblInputSheet[[#This Row],[End State]] = "-", "", tblInputSheet[[#This Row],[End State]]), "")</f>
        <v>Y</v>
      </c>
      <c r="L36" s="9" t="str">
        <f>IFERROR(IF(tblInputSheet[[#This Row],[MVP]] = "-", "", tblInputSheet[[#This Row],[MVP]]), "")</f>
        <v>Y</v>
      </c>
      <c r="M36" s="9" t="str">
        <f>IFERROR(IF(tblInputSheet[[#This Row],[Confidence Factor]] = "-", "", VLOOKUP(tblInputSheet[[#This Row],[Confidence Factor]], tblConfidenceFactor[], 3,FALSE)), "")</f>
        <v>Medium</v>
      </c>
      <c r="N36" s="9">
        <f>IFERROR(IF(tblInputSheet[[#This Row],[Count of Invocations]] = "", "", tblInputSheet[[#This Row],[Count of Invocations]]), "")</f>
        <v>1</v>
      </c>
      <c r="O36" s="9">
        <f>IFERROR(IF(tblInputSheet[[#This Row],[DB Calls (ms)]] = "", "", tblInputSheet[[#This Row],[DB Calls (ms)]]), "")</f>
        <v>1</v>
      </c>
      <c r="P36" s="9">
        <f>IFERROR(IF(tblInputSheet[[#This Row],[Logic (ms)]] = "", "", tblInputSheet[[#This Row],[Logic (ms)]]), "")</f>
        <v>55</v>
      </c>
      <c r="Q36" s="9">
        <f>IFERROR(IF(tblInputSheet[[#This Row],[Rules (ms)]] = "", "", tblInputSheet[[#This Row],[Rules (ms)]]), "")</f>
        <v>1</v>
      </c>
      <c r="R36" s="9">
        <f>IFERROR(IF(tblInputSheet[[#This Row],[Latency (ms)]] = "", "", tblInputSheet[[#This Row],[Latency (ms)]]), "")</f>
        <v>15</v>
      </c>
      <c r="S36" s="9">
        <f>IFERROR(SUM(tblDisplaySheet[[#This Row],[DB Calls (ms)]:[Latency (ms)]]), "")</f>
        <v>72</v>
      </c>
      <c r="T36" s="9">
        <f>IFERROR(tblDisplaySheet[[#This Row],[Time of Function / Call]]*tblDisplaySheet[[#This Row],[Count of Invocations]], "")</f>
        <v>72</v>
      </c>
      <c r="U36" s="8">
        <v>72</v>
      </c>
      <c r="V36" s="8">
        <f>IFERROR(IF(tblInputSheet[[#This Row],[Process NFR]] = "", "", tblInputSheet[[#This Row],[Process NFR]]), "")</f>
        <v>75</v>
      </c>
      <c r="W36" s="8">
        <f>tblDisplaySheet[[#This Row],[Process NFR]]*tblDisplaySheet[[#This Row],[Count of Invocations]]</f>
        <v>75</v>
      </c>
      <c r="X36" s="8">
        <v>75</v>
      </c>
      <c r="Y36" s="8">
        <f>tblDisplaySheet[[#This Row],[Total Process Path Length NFR]]-tblDisplaySheet[[#This Row],[Total Process Path Length]]</f>
        <v>3</v>
      </c>
      <c r="Z36" s="8" t="str">
        <f>IF(tblDisplaySheet[[#This Row],[Difference]]&gt;=0, "On Target", "Off Target")</f>
        <v>On Target</v>
      </c>
      <c r="AA36" s="8" t="str">
        <f>IFERROR(IF(tblInputSheet[[#This Row],[Is Leaf ?]] = "-", "", tblInputSheet[[#This Row],[Is Leaf ?]]), "")</f>
        <v>Y</v>
      </c>
      <c r="AB36" s="8" t="str">
        <f>IFERROR(IF(tblInputSheet[[#This Row],[Owner]] = "", "", tblInputSheet[[#This Row],[Owner]]), "")</f>
        <v>Sankar</v>
      </c>
      <c r="AC36" s="8" t="s">
        <v>20</v>
      </c>
      <c r="AD36" s="9" t="s">
        <v>20</v>
      </c>
    </row>
    <row r="37" spans="1:30" ht="30" x14ac:dyDescent="0.25">
      <c r="A37" s="8">
        <f>IFERROR(IF(tblInputSheet[[#This Row],[Link]] = "", "", tblInputSheet[[#This Row],[Link]]), "")</f>
        <v>26</v>
      </c>
      <c r="B37" s="9">
        <f>IFERROR(IF(tblInputSheet[[#This Row],[Level]] = "", "", tblInputSheet[[#This Row],[Level]]), "")</f>
        <v>9</v>
      </c>
      <c r="C37" s="9">
        <f>IFERROR(IF(tblInputSheet[[#This Row],[Sl.No]] = "", "", tblInputSheet[[#This Row],[Sl.No]]), "")</f>
        <v>35</v>
      </c>
      <c r="D37" s="9" t="str">
        <f>IFERROR(IF(tblInputSheet[[#This Row],[Group]] = "", "", tblInputSheet[[#This Row],[Group]]), "")</f>
        <v>Service Level - BD</v>
      </c>
      <c r="E37" s="9" t="str">
        <f>IFERROR(IF(tblInputSheet[[#This Row],[Process]] = "", "", REPT("*",Display!$B37)&amp;""&amp;tblInputSheet[[#This Row],[Process]]), "")</f>
        <v>*********Service Disposition &amp; Pre-Auth Service</v>
      </c>
      <c r="F37" s="9" t="str">
        <f>IFERROR(IF(tblInputSheet[[#This Row],[Hosted Platform]] = "", "", tblInputSheet[[#This Row],[Hosted Platform]]), "")</f>
        <v>PCF</v>
      </c>
      <c r="G37" s="9" t="str">
        <f>IFERROR(IF(tblInputSheet[[#This Row],[Provider]] = "-", "", tblInputSheet[[#This Row],[Provider]]), "")</f>
        <v>Key-Claims Adjudication</v>
      </c>
      <c r="H37" s="9" t="str">
        <f>IFERROR(IF(tblInputSheet[[#This Row],[Consumer]] = "-", "", tblInputSheet[[#This Row],[Consumer]]), "")</f>
        <v>Key-Claims Adjudication</v>
      </c>
      <c r="I37" s="9" t="str">
        <f>IFERROR(IF(tblInputSheet[[#This Row],[Integration Pattern]] = "-", "", tblInputSheet[[#This Row],[Integration Pattern]]), "")</f>
        <v>PCF Internal (C-to-C)</v>
      </c>
      <c r="J37" s="9" t="str">
        <f>IFERROR(IF(tblInputSheet[[#This Row],[Current State]] = "-", "", tblInputSheet[[#This Row],[Current State]]), "")</f>
        <v>Y</v>
      </c>
      <c r="K37" s="9" t="str">
        <f>IFERROR(IF(tblInputSheet[[#This Row],[End State]] = "-", "", tblInputSheet[[#This Row],[End State]]), "")</f>
        <v>Y</v>
      </c>
      <c r="L37" s="9" t="str">
        <f>IFERROR(IF(tblInputSheet[[#This Row],[MVP]] = "-", "", tblInputSheet[[#This Row],[MVP]]), "")</f>
        <v>Y</v>
      </c>
      <c r="M37" s="9" t="str">
        <f>IFERROR(IF(tblInputSheet[[#This Row],[Confidence Factor]] = "-", "", VLOOKUP(tblInputSheet[[#This Row],[Confidence Factor]], tblConfidenceFactor[], 3,FALSE)), "")</f>
        <v>Medium</v>
      </c>
      <c r="N37" s="9">
        <f>IFERROR(IF(tblInputSheet[[#This Row],[Count of Invocations]] = "", "", tblInputSheet[[#This Row],[Count of Invocations]]), "")</f>
        <v>1</v>
      </c>
      <c r="O37" s="9">
        <f>IFERROR(IF(tblInputSheet[[#This Row],[DB Calls (ms)]] = "", "", tblInputSheet[[#This Row],[DB Calls (ms)]]), "")</f>
        <v>1</v>
      </c>
      <c r="P37" s="9">
        <f>IFERROR(IF(tblInputSheet[[#This Row],[Logic (ms)]] = "", "", tblInputSheet[[#This Row],[Logic (ms)]]), "")</f>
        <v>5</v>
      </c>
      <c r="Q37" s="9">
        <f>IFERROR(IF(tblInputSheet[[#This Row],[Rules (ms)]] = "", "", tblInputSheet[[#This Row],[Rules (ms)]]), "")</f>
        <v>0</v>
      </c>
      <c r="R37" s="9">
        <f>IFERROR(IF(tblInputSheet[[#This Row],[Latency (ms)]] = "", "", tblInputSheet[[#This Row],[Latency (ms)]]), "")</f>
        <v>15</v>
      </c>
      <c r="S37" s="9">
        <f>IFERROR(SUM(tblDisplaySheet[[#This Row],[DB Calls (ms)]:[Latency (ms)]]), "")</f>
        <v>21</v>
      </c>
      <c r="T37" s="9">
        <f>IFERROR(tblDisplaySheet[[#This Row],[Time of Function / Call]]*tblDisplaySheet[[#This Row],[Count of Invocations]], "")</f>
        <v>21</v>
      </c>
      <c r="U37" s="8">
        <v>67</v>
      </c>
      <c r="V37" s="8">
        <f>IFERROR(IF(tblInputSheet[[#This Row],[Process NFR]] = "", "", tblInputSheet[[#This Row],[Process NFR]]), "")</f>
        <v>20</v>
      </c>
      <c r="W37" s="8">
        <f>tblDisplaySheet[[#This Row],[Process NFR]]*tblDisplaySheet[[#This Row],[Count of Invocations]]</f>
        <v>20</v>
      </c>
      <c r="X37" s="8">
        <v>70</v>
      </c>
      <c r="Y37" s="8">
        <f>tblDisplaySheet[[#This Row],[Total Process Path Length NFR]]-tblDisplaySheet[[#This Row],[Total Process Path Length]]</f>
        <v>3</v>
      </c>
      <c r="Z37" s="8" t="str">
        <f>IF(tblDisplaySheet[[#This Row],[Difference]]&gt;=0, "On Target", "Off Target")</f>
        <v>On Target</v>
      </c>
      <c r="AA37" s="8" t="str">
        <f>IFERROR(IF(tblInputSheet[[#This Row],[Is Leaf ?]] = "-", "", tblInputSheet[[#This Row],[Is Leaf ?]]), "")</f>
        <v>N</v>
      </c>
      <c r="AB37" s="8" t="str">
        <f>IFERROR(IF(tblInputSheet[[#This Row],[Owner]] = "", "", tblInputSheet[[#This Row],[Owner]]), "")</f>
        <v>Sankar</v>
      </c>
      <c r="AC37" s="8" t="s">
        <v>20</v>
      </c>
      <c r="AD37" s="9" t="s">
        <v>20</v>
      </c>
    </row>
    <row r="38" spans="1:30" x14ac:dyDescent="0.25">
      <c r="A38" s="8">
        <f>IFERROR(IF(tblInputSheet[[#This Row],[Link]] = "", "", tblInputSheet[[#This Row],[Link]]), "")</f>
        <v>35</v>
      </c>
      <c r="B38" s="9">
        <f>IFERROR(IF(tblInputSheet[[#This Row],[Level]] = "", "", tblInputSheet[[#This Row],[Level]]), "")</f>
        <v>10</v>
      </c>
      <c r="C38" s="9">
        <f>IFERROR(IF(tblInputSheet[[#This Row],[Sl.No]] = "", "", tblInputSheet[[#This Row],[Sl.No]]), "")</f>
        <v>36</v>
      </c>
      <c r="D38" s="9" t="str">
        <f>IFERROR(IF(tblInputSheet[[#This Row],[Group]] = "", "", tblInputSheet[[#This Row],[Group]]), "")</f>
        <v>Service Level - BD</v>
      </c>
      <c r="E38" s="9" t="str">
        <f>IFERROR(IF(tblInputSheet[[#This Row],[Process]] = "", "", REPT("*",Display!$B38)&amp;""&amp;tblInputSheet[[#This Row],[Process]]), "")</f>
        <v>**********Keystone PANS Service(Adj. Path)</v>
      </c>
      <c r="F38" s="9" t="str">
        <f>IFERROR(IF(tblInputSheet[[#This Row],[Hosted Platform]] = "", "", tblInputSheet[[#This Row],[Hosted Platform]]), "")</f>
        <v>PCF</v>
      </c>
      <c r="G38" s="9" t="str">
        <f>IFERROR(IF(tblInputSheet[[#This Row],[Provider]] = "-", "", tblInputSheet[[#This Row],[Provider]]), "")</f>
        <v>Key-Claims Adjudication</v>
      </c>
      <c r="H38" s="9" t="str">
        <f>IFERROR(IF(tblInputSheet[[#This Row],[Consumer]] = "-", "", tblInputSheet[[#This Row],[Consumer]]), "")</f>
        <v>Key-Claims Adjudication</v>
      </c>
      <c r="I38" s="9" t="str">
        <f>IFERROR(IF(tblInputSheet[[#This Row],[Integration Pattern]] = "-", "", tblInputSheet[[#This Row],[Integration Pattern]]), "")</f>
        <v>PCF Internal (C-to-C)</v>
      </c>
      <c r="J38" s="9" t="str">
        <f>IFERROR(IF(tblInputSheet[[#This Row],[Current State]] = "-", "", tblInputSheet[[#This Row],[Current State]]), "")</f>
        <v>Y</v>
      </c>
      <c r="K38" s="9" t="str">
        <f>IFERROR(IF(tblInputSheet[[#This Row],[End State]] = "-", "", tblInputSheet[[#This Row],[End State]]), "")</f>
        <v>Y</v>
      </c>
      <c r="L38" s="9" t="str">
        <f>IFERROR(IF(tblInputSheet[[#This Row],[MVP]] = "-", "", tblInputSheet[[#This Row],[MVP]]), "")</f>
        <v>Y</v>
      </c>
      <c r="M38" s="9" t="str">
        <f>IFERROR(IF(tblInputSheet[[#This Row],[Confidence Factor]] = "-", "", VLOOKUP(tblInputSheet[[#This Row],[Confidence Factor]], tblConfidenceFactor[], 3,FALSE)), "")</f>
        <v>Medium</v>
      </c>
      <c r="N38" s="9">
        <f>IFERROR(IF(tblInputSheet[[#This Row],[Count of Invocations]] = "", "", tblInputSheet[[#This Row],[Count of Invocations]]), "")</f>
        <v>1</v>
      </c>
      <c r="O38" s="9">
        <f>IFERROR(IF(tblInputSheet[[#This Row],[DB Calls (ms)]] = "", "", tblInputSheet[[#This Row],[DB Calls (ms)]]), "")</f>
        <v>1</v>
      </c>
      <c r="P38" s="9">
        <f>IFERROR(IF(tblInputSheet[[#This Row],[Logic (ms)]] = "", "", tblInputSheet[[#This Row],[Logic (ms)]]), "")</f>
        <v>30</v>
      </c>
      <c r="Q38" s="9">
        <f>IFERROR(IF(tblInputSheet[[#This Row],[Rules (ms)]] = "", "", tblInputSheet[[#This Row],[Rules (ms)]]), "")</f>
        <v>0</v>
      </c>
      <c r="R38" s="9">
        <f>IFERROR(IF(tblInputSheet[[#This Row],[Latency (ms)]] = "", "", tblInputSheet[[#This Row],[Latency (ms)]]), "")</f>
        <v>15</v>
      </c>
      <c r="S38" s="9">
        <f>IFERROR(SUM(tblDisplaySheet[[#This Row],[DB Calls (ms)]:[Latency (ms)]]), "")</f>
        <v>46</v>
      </c>
      <c r="T38" s="9">
        <f>IFERROR(tblDisplaySheet[[#This Row],[Time of Function / Call]]*tblDisplaySheet[[#This Row],[Count of Invocations]], "")</f>
        <v>46</v>
      </c>
      <c r="U38" s="8">
        <v>46</v>
      </c>
      <c r="V38" s="8">
        <f>IFERROR(IF(tblInputSheet[[#This Row],[Process NFR]] = "", "", tblInputSheet[[#This Row],[Process NFR]]), "")</f>
        <v>50</v>
      </c>
      <c r="W38" s="8">
        <f>tblDisplaySheet[[#This Row],[Process NFR]]*tblDisplaySheet[[#This Row],[Count of Invocations]]</f>
        <v>50</v>
      </c>
      <c r="X38" s="8">
        <v>50</v>
      </c>
      <c r="Y38" s="8">
        <f>tblDisplaySheet[[#This Row],[Total Process Path Length NFR]]-tblDisplaySheet[[#This Row],[Total Process Path Length]]</f>
        <v>4</v>
      </c>
      <c r="Z38" s="8" t="str">
        <f>IF(tblDisplaySheet[[#This Row],[Difference]]&gt;=0, "On Target", "Off Target")</f>
        <v>On Target</v>
      </c>
      <c r="AA38" s="8" t="str">
        <f>IFERROR(IF(tblInputSheet[[#This Row],[Is Leaf ?]] = "-", "", tblInputSheet[[#This Row],[Is Leaf ?]]), "")</f>
        <v>Y</v>
      </c>
      <c r="AB38" s="8" t="str">
        <f>IFERROR(IF(tblInputSheet[[#This Row],[Owner]] = "", "", tblInputSheet[[#This Row],[Owner]]), "")</f>
        <v>Sankar</v>
      </c>
      <c r="AC38" s="8" t="s">
        <v>20</v>
      </c>
      <c r="AD38" s="9" t="s">
        <v>20</v>
      </c>
    </row>
    <row r="39" spans="1:30" x14ac:dyDescent="0.25">
      <c r="A39" s="8">
        <f>IFERROR(IF(tblInputSheet[[#This Row],[Link]] = "", "", tblInputSheet[[#This Row],[Link]]), "")</f>
        <v>26</v>
      </c>
      <c r="B39" s="9">
        <f>IFERROR(IF(tblInputSheet[[#This Row],[Level]] = "", "", tblInputSheet[[#This Row],[Level]]), "")</f>
        <v>9</v>
      </c>
      <c r="C39" s="9">
        <f>IFERROR(IF(tblInputSheet[[#This Row],[Sl.No]] = "", "", tblInputSheet[[#This Row],[Sl.No]]), "")</f>
        <v>37</v>
      </c>
      <c r="D39" s="9" t="str">
        <f>IFERROR(IF(tblInputSheet[[#This Row],[Group]] = "", "", tblInputSheet[[#This Row],[Group]]), "")</f>
        <v>Service Level - BD</v>
      </c>
      <c r="E39" s="9" t="str">
        <f>IFERROR(IF(tblInputSheet[[#This Row],[Process]] = "", "", REPT("*",Display!$B39)&amp;""&amp;tblInputSheet[[#This Row],[Process]]), "")</f>
        <v>*********ARIS Mule Adapter</v>
      </c>
      <c r="F39" s="9" t="str">
        <f>IFERROR(IF(tblInputSheet[[#This Row],[Hosted Platform]] = "", "", tblInputSheet[[#This Row],[Hosted Platform]]), "")</f>
        <v>Mule ESB</v>
      </c>
      <c r="G39" s="9" t="str">
        <f>IFERROR(IF(tblInputSheet[[#This Row],[Provider]] = "-", "", tblInputSheet[[#This Row],[Provider]]), "")</f>
        <v>Key-Claims Adjudication</v>
      </c>
      <c r="H39" s="9" t="str">
        <f>IFERROR(IF(tblInputSheet[[#This Row],[Consumer]] = "-", "", tblInputSheet[[#This Row],[Consumer]]), "")</f>
        <v>Key-Claims Adjudication</v>
      </c>
      <c r="I39" s="9" t="str">
        <f>IFERROR(IF(tblInputSheet[[#This Row],[Integration Pattern]] = "-", "", tblInputSheet[[#This Row],[Integration Pattern]]), "")</f>
        <v>ESB - MQ Integration</v>
      </c>
      <c r="J39" s="9" t="str">
        <f>IFERROR(IF(tblInputSheet[[#This Row],[Current State]] = "-", "", tblInputSheet[[#This Row],[Current State]]), "")</f>
        <v>Y</v>
      </c>
      <c r="K39" s="9" t="str">
        <f>IFERROR(IF(tblInputSheet[[#This Row],[End State]] = "-", "", tblInputSheet[[#This Row],[End State]]), "")</f>
        <v>N</v>
      </c>
      <c r="L39" s="9" t="str">
        <f>IFERROR(IF(tblInputSheet[[#This Row],[MVP]] = "-", "", tblInputSheet[[#This Row],[MVP]]), "")</f>
        <v>Y</v>
      </c>
      <c r="M39" s="9" t="str">
        <f>IFERROR(IF(tblInputSheet[[#This Row],[Confidence Factor]] = "-", "", VLOOKUP(tblInputSheet[[#This Row],[Confidence Factor]], tblConfidenceFactor[], 3,FALSE)), "")</f>
        <v>Low</v>
      </c>
      <c r="N39" s="9">
        <f>IFERROR(IF(tblInputSheet[[#This Row],[Count of Invocations]] = "", "", tblInputSheet[[#This Row],[Count of Invocations]]), "")</f>
        <v>1</v>
      </c>
      <c r="O39" s="9">
        <f>IFERROR(IF(tblInputSheet[[#This Row],[DB Calls (ms)]] = "", "", tblInputSheet[[#This Row],[DB Calls (ms)]]), "")</f>
        <v>0</v>
      </c>
      <c r="P39" s="9">
        <f>IFERROR(IF(tblInputSheet[[#This Row],[Logic (ms)]] = "", "", tblInputSheet[[#This Row],[Logic (ms)]]), "")</f>
        <v>50</v>
      </c>
      <c r="Q39" s="9">
        <f>IFERROR(IF(tblInputSheet[[#This Row],[Rules (ms)]] = "", "", tblInputSheet[[#This Row],[Rules (ms)]]), "")</f>
        <v>0</v>
      </c>
      <c r="R39" s="9">
        <f>IFERROR(IF(tblInputSheet[[#This Row],[Latency (ms)]] = "", "", tblInputSheet[[#This Row],[Latency (ms)]]), "")</f>
        <v>35</v>
      </c>
      <c r="S39" s="9">
        <f>IFERROR(SUM(tblDisplaySheet[[#This Row],[DB Calls (ms)]:[Latency (ms)]]), "")</f>
        <v>85</v>
      </c>
      <c r="T39" s="9">
        <f>IFERROR(tblDisplaySheet[[#This Row],[Time of Function / Call]]*tblDisplaySheet[[#This Row],[Count of Invocations]], "")</f>
        <v>85</v>
      </c>
      <c r="U39" s="8">
        <v>116</v>
      </c>
      <c r="V39" s="8">
        <f>IFERROR(IF(tblInputSheet[[#This Row],[Process NFR]] = "", "", tblInputSheet[[#This Row],[Process NFR]]), "")</f>
        <v>85</v>
      </c>
      <c r="W39" s="8">
        <f>tblDisplaySheet[[#This Row],[Process NFR]]*tblDisplaySheet[[#This Row],[Count of Invocations]]</f>
        <v>85</v>
      </c>
      <c r="X39" s="8">
        <v>120</v>
      </c>
      <c r="Y39" s="8">
        <f>tblDisplaySheet[[#This Row],[Total Process Path Length NFR]]-tblDisplaySheet[[#This Row],[Total Process Path Length]]</f>
        <v>4</v>
      </c>
      <c r="Z39" s="8" t="str">
        <f>IF(tblDisplaySheet[[#This Row],[Difference]]&gt;=0, "On Target", "Off Target")</f>
        <v>On Target</v>
      </c>
      <c r="AA39" s="8" t="str">
        <f>IFERROR(IF(tblInputSheet[[#This Row],[Is Leaf ?]] = "-", "", tblInputSheet[[#This Row],[Is Leaf ?]]), "")</f>
        <v>N</v>
      </c>
      <c r="AB39" s="8" t="str">
        <f>IFERROR(IF(tblInputSheet[[#This Row],[Owner]] = "", "", tblInputSheet[[#This Row],[Owner]]), "")</f>
        <v>Sankar</v>
      </c>
      <c r="AC39" s="8" t="s">
        <v>20</v>
      </c>
      <c r="AD39" s="9" t="s">
        <v>20</v>
      </c>
    </row>
    <row r="40" spans="1:30" x14ac:dyDescent="0.25">
      <c r="A40" s="8">
        <f>IFERROR(IF(tblInputSheet[[#This Row],[Link]] = "", "", tblInputSheet[[#This Row],[Link]]), "")</f>
        <v>37</v>
      </c>
      <c r="B40" s="9">
        <f>IFERROR(IF(tblInputSheet[[#This Row],[Level]] = "", "", tblInputSheet[[#This Row],[Level]]), "")</f>
        <v>10</v>
      </c>
      <c r="C40" s="9">
        <f>IFERROR(IF(tblInputSheet[[#This Row],[Sl.No]] = "", "", tblInputSheet[[#This Row],[Sl.No]]), "")</f>
        <v>38</v>
      </c>
      <c r="D40" s="9" t="str">
        <f>IFERROR(IF(tblInputSheet[[#This Row],[Group]] = "", "", tblInputSheet[[#This Row],[Group]]), "")</f>
        <v>Service Level - BD</v>
      </c>
      <c r="E40" s="9" t="str">
        <f>IFERROR(IF(tblInputSheet[[#This Row],[Process]] = "", "", REPT("*",Display!$B40)&amp;""&amp;tblInputSheet[[#This Row],[Process]]), "")</f>
        <v>**********ARIS Module</v>
      </c>
      <c r="F40" s="9" t="str">
        <f>IFERROR(IF(tblInputSheet[[#This Row],[Hosted Platform]] = "", "", tblInputSheet[[#This Row],[Hosted Platform]]), "")</f>
        <v>Cross-Portfolio</v>
      </c>
      <c r="G40" s="9" t="str">
        <f>IFERROR(IF(tblInputSheet[[#This Row],[Provider]] = "-", "", tblInputSheet[[#This Row],[Provider]]), "")</f>
        <v>EMPCO</v>
      </c>
      <c r="H40" s="9" t="str">
        <f>IFERROR(IF(tblInputSheet[[#This Row],[Consumer]] = "-", "", tblInputSheet[[#This Row],[Consumer]]), "")</f>
        <v>Key-Claims Adjudication</v>
      </c>
      <c r="I40" s="9" t="str">
        <f>IFERROR(IF(tblInputSheet[[#This Row],[Integration Pattern]] = "-", "", tblInputSheet[[#This Row],[Integration Pattern]]), "")</f>
        <v>BC Internal</v>
      </c>
      <c r="J40" s="9" t="str">
        <f>IFERROR(IF(tblInputSheet[[#This Row],[Current State]] = "-", "", tblInputSheet[[#This Row],[Current State]]), "")</f>
        <v>Y</v>
      </c>
      <c r="K40" s="9" t="str">
        <f>IFERROR(IF(tblInputSheet[[#This Row],[End State]] = "-", "", tblInputSheet[[#This Row],[End State]]), "")</f>
        <v>Y</v>
      </c>
      <c r="L40" s="9" t="str">
        <f>IFERROR(IF(tblInputSheet[[#This Row],[MVP]] = "-", "", tblInputSheet[[#This Row],[MVP]]), "")</f>
        <v>Y</v>
      </c>
      <c r="M40" s="9" t="str">
        <f>IFERROR(IF(tblInputSheet[[#This Row],[Confidence Factor]] = "-", "", VLOOKUP(tblInputSheet[[#This Row],[Confidence Factor]], tblConfidenceFactor[], 3,FALSE)), "")</f>
        <v>Medium</v>
      </c>
      <c r="N40" s="9">
        <f>IFERROR(IF(tblInputSheet[[#This Row],[Count of Invocations]] = "", "", tblInputSheet[[#This Row],[Count of Invocations]]), "")</f>
        <v>1</v>
      </c>
      <c r="O40" s="9">
        <f>IFERROR(IF(tblInputSheet[[#This Row],[DB Calls (ms)]] = "", "", tblInputSheet[[#This Row],[DB Calls (ms)]]), "")</f>
        <v>1</v>
      </c>
      <c r="P40" s="9">
        <f>IFERROR(IF(tblInputSheet[[#This Row],[Logic (ms)]] = "", "", tblInputSheet[[#This Row],[Logic (ms)]]), "")</f>
        <v>15</v>
      </c>
      <c r="Q40" s="9">
        <f>IFERROR(IF(tblInputSheet[[#This Row],[Rules (ms)]] = "", "", tblInputSheet[[#This Row],[Rules (ms)]]), "")</f>
        <v>0</v>
      </c>
      <c r="R40" s="9">
        <f>IFERROR(IF(tblInputSheet[[#This Row],[Latency (ms)]] = "", "", tblInputSheet[[#This Row],[Latency (ms)]]), "")</f>
        <v>15</v>
      </c>
      <c r="S40" s="9">
        <f>IFERROR(SUM(tblDisplaySheet[[#This Row],[DB Calls (ms)]:[Latency (ms)]]), "")</f>
        <v>31</v>
      </c>
      <c r="T40" s="9">
        <f>IFERROR(tblDisplaySheet[[#This Row],[Time of Function / Call]]*tblDisplaySheet[[#This Row],[Count of Invocations]], "")</f>
        <v>31</v>
      </c>
      <c r="U40" s="8">
        <v>31</v>
      </c>
      <c r="V40" s="8">
        <f>IFERROR(IF(tblInputSheet[[#This Row],[Process NFR]] = "", "", tblInputSheet[[#This Row],[Process NFR]]), "")</f>
        <v>35</v>
      </c>
      <c r="W40" s="8">
        <f>tblDisplaySheet[[#This Row],[Process NFR]]*tblDisplaySheet[[#This Row],[Count of Invocations]]</f>
        <v>35</v>
      </c>
      <c r="X40" s="8">
        <v>35</v>
      </c>
      <c r="Y40" s="8">
        <f>tblDisplaySheet[[#This Row],[Total Process Path Length NFR]]-tblDisplaySheet[[#This Row],[Total Process Path Length]]</f>
        <v>4</v>
      </c>
      <c r="Z40" s="8" t="str">
        <f>IF(tblDisplaySheet[[#This Row],[Difference]]&gt;=0, "On Target", "Off Target")</f>
        <v>On Target</v>
      </c>
      <c r="AA40" s="8" t="str">
        <f>IFERROR(IF(tblInputSheet[[#This Row],[Is Leaf ?]] = "-", "", tblInputSheet[[#This Row],[Is Leaf ?]]), "")</f>
        <v>Y</v>
      </c>
      <c r="AB40" s="8" t="str">
        <f>IFERROR(IF(tblInputSheet[[#This Row],[Owner]] = "", "", tblInputSheet[[#This Row],[Owner]]), "")</f>
        <v>Sankar</v>
      </c>
      <c r="AC40" s="8" t="s">
        <v>20</v>
      </c>
      <c r="AD40" s="9" t="s">
        <v>20</v>
      </c>
    </row>
    <row r="41" spans="1:30" x14ac:dyDescent="0.25">
      <c r="A41" s="8">
        <f>IFERROR(IF(tblInputSheet[[#This Row],[Link]] = "", "", tblInputSheet[[#This Row],[Link]]), "")</f>
        <v>26</v>
      </c>
      <c r="B41" s="9">
        <f>IFERROR(IF(tblInputSheet[[#This Row],[Level]] = "", "", tblInputSheet[[#This Row],[Level]]), "")</f>
        <v>9</v>
      </c>
      <c r="C41" s="9">
        <f>IFERROR(IF(tblInputSheet[[#This Row],[Sl.No]] = "", "", tblInputSheet[[#This Row],[Sl.No]]), "")</f>
        <v>39</v>
      </c>
      <c r="D41" s="9" t="str">
        <f>IFERROR(IF(tblInputSheet[[#This Row],[Group]] = "", "", tblInputSheet[[#This Row],[Group]]), "")</f>
        <v>Service Level - BD</v>
      </c>
      <c r="E41" s="9" t="str">
        <f>IFERROR(IF(tblInputSheet[[#This Row],[Process]] = "", "", REPT("*",Display!$B41)&amp;""&amp;tblInputSheet[[#This Row],[Process]]), "")</f>
        <v>*********Service Eligibility &amp; PreAuth Rules Service</v>
      </c>
      <c r="F41" s="9" t="str">
        <f>IFERROR(IF(tblInputSheet[[#This Row],[Hosted Platform]] = "", "", tblInputSheet[[#This Row],[Hosted Platform]]), "")</f>
        <v>PCF</v>
      </c>
      <c r="G41" s="9" t="str">
        <f>IFERROR(IF(tblInputSheet[[#This Row],[Provider]] = "-", "", tblInputSheet[[#This Row],[Provider]]), "")</f>
        <v>Key-Claims Adjudication</v>
      </c>
      <c r="H41" s="9" t="str">
        <f>IFERROR(IF(tblInputSheet[[#This Row],[Consumer]] = "-", "", tblInputSheet[[#This Row],[Consumer]]), "")</f>
        <v>Key-Claims Adjudication</v>
      </c>
      <c r="I41" s="9" t="str">
        <f>IFERROR(IF(tblInputSheet[[#This Row],[Integration Pattern]] = "-", "", tblInputSheet[[#This Row],[Integration Pattern]]), "")</f>
        <v>PCF Internal (C-to-C)</v>
      </c>
      <c r="J41" s="9" t="str">
        <f>IFERROR(IF(tblInputSheet[[#This Row],[Current State]] = "-", "", tblInputSheet[[#This Row],[Current State]]), "")</f>
        <v>Y</v>
      </c>
      <c r="K41" s="9" t="str">
        <f>IFERROR(IF(tblInputSheet[[#This Row],[End State]] = "-", "", tblInputSheet[[#This Row],[End State]]), "")</f>
        <v>Y</v>
      </c>
      <c r="L41" s="9" t="str">
        <f>IFERROR(IF(tblInputSheet[[#This Row],[MVP]] = "-", "", tblInputSheet[[#This Row],[MVP]]), "")</f>
        <v>Y</v>
      </c>
      <c r="M41" s="9" t="str">
        <f>IFERROR(IF(tblInputSheet[[#This Row],[Confidence Factor]] = "-", "", VLOOKUP(tblInputSheet[[#This Row],[Confidence Factor]], tblConfidenceFactor[], 3,FALSE)), "")</f>
        <v>Medium</v>
      </c>
      <c r="N41" s="9">
        <f>IFERROR(IF(tblInputSheet[[#This Row],[Count of Invocations]] = "", "", tblInputSheet[[#This Row],[Count of Invocations]]), "")</f>
        <v>1</v>
      </c>
      <c r="O41" s="9">
        <f>IFERROR(IF(tblInputSheet[[#This Row],[DB Calls (ms)]] = "", "", tblInputSheet[[#This Row],[DB Calls (ms)]]), "")</f>
        <v>1</v>
      </c>
      <c r="P41" s="9">
        <f>IFERROR(IF(tblInputSheet[[#This Row],[Logic (ms)]] = "", "", tblInputSheet[[#This Row],[Logic (ms)]]), "")</f>
        <v>80</v>
      </c>
      <c r="Q41" s="9">
        <f>IFERROR(IF(tblInputSheet[[#This Row],[Rules (ms)]] = "", "", tblInputSheet[[#This Row],[Rules (ms)]]), "")</f>
        <v>0</v>
      </c>
      <c r="R41" s="9">
        <f>IFERROR(IF(tblInputSheet[[#This Row],[Latency (ms)]] = "", "", tblInputSheet[[#This Row],[Latency (ms)]]), "")</f>
        <v>5</v>
      </c>
      <c r="S41" s="9">
        <f>IFERROR(SUM(tblDisplaySheet[[#This Row],[DB Calls (ms)]:[Latency (ms)]]), "")</f>
        <v>86</v>
      </c>
      <c r="T41" s="9">
        <f>IFERROR(tblDisplaySheet[[#This Row],[Time of Function / Call]]*tblDisplaySheet[[#This Row],[Count of Invocations]], "")</f>
        <v>86</v>
      </c>
      <c r="U41" s="8">
        <v>195</v>
      </c>
      <c r="V41" s="8">
        <f>IFERROR(IF(tblInputSheet[[#This Row],[Process NFR]] = "", "", tblInputSheet[[#This Row],[Process NFR]]), "")</f>
        <v>100</v>
      </c>
      <c r="W41" s="8">
        <f>tblDisplaySheet[[#This Row],[Process NFR]]*tblDisplaySheet[[#This Row],[Count of Invocations]]</f>
        <v>100</v>
      </c>
      <c r="X41" s="8">
        <v>240</v>
      </c>
      <c r="Y41" s="8">
        <f>tblDisplaySheet[[#This Row],[Total Process Path Length NFR]]-tblDisplaySheet[[#This Row],[Total Process Path Length]]</f>
        <v>45</v>
      </c>
      <c r="Z41" s="8" t="str">
        <f>IF(tblDisplaySheet[[#This Row],[Difference]]&gt;=0, "On Target", "Off Target")</f>
        <v>On Target</v>
      </c>
      <c r="AA41" s="8" t="str">
        <f>IFERROR(IF(tblInputSheet[[#This Row],[Is Leaf ?]] = "-", "", tblInputSheet[[#This Row],[Is Leaf ?]]), "")</f>
        <v>N</v>
      </c>
      <c r="AB41" s="8" t="str">
        <f>IFERROR(IF(tblInputSheet[[#This Row],[Owner]] = "", "", tblInputSheet[[#This Row],[Owner]]), "")</f>
        <v>Sankar</v>
      </c>
      <c r="AC41" s="8" t="s">
        <v>20</v>
      </c>
      <c r="AD41" s="9" t="s">
        <v>73</v>
      </c>
    </row>
    <row r="42" spans="1:30" ht="21.75" customHeight="1" x14ac:dyDescent="0.25">
      <c r="A42" s="8">
        <f>IFERROR(IF(tblInputSheet[[#This Row],[Link]] = "", "", tblInputSheet[[#This Row],[Link]]), "")</f>
        <v>39</v>
      </c>
      <c r="B42" s="9">
        <f>IFERROR(IF(tblInputSheet[[#This Row],[Level]] = "", "", tblInputSheet[[#This Row],[Level]]), "")</f>
        <v>10</v>
      </c>
      <c r="C42" s="9">
        <f>IFERROR(IF(tblInputSheet[[#This Row],[Sl.No]] = "", "", tblInputSheet[[#This Row],[Sl.No]]), "")</f>
        <v>40</v>
      </c>
      <c r="D42" s="9" t="str">
        <f>IFERROR(IF(tblInputSheet[[#This Row],[Group]] = "", "", tblInputSheet[[#This Row],[Group]]), "")</f>
        <v>Service Level - BD</v>
      </c>
      <c r="E42" s="9" t="str">
        <f>IFERROR(IF(tblInputSheet[[#This Row],[Process]] = "", "", REPT("*",Display!$B42)&amp;""&amp;tblInputSheet[[#This Row],[Process]]), "")</f>
        <v>**********Service Category Determination Service</v>
      </c>
      <c r="F42" s="9" t="str">
        <f>IFERROR(IF(tblInputSheet[[#This Row],[Hosted Platform]] = "", "", tblInputSheet[[#This Row],[Hosted Platform]]), "")</f>
        <v>PCF</v>
      </c>
      <c r="G42" s="9" t="str">
        <f>IFERROR(IF(tblInputSheet[[#This Row],[Provider]] = "-", "", tblInputSheet[[#This Row],[Provider]]), "")</f>
        <v>Key-Claims Adjudication</v>
      </c>
      <c r="H42" s="9" t="str">
        <f>IFERROR(IF(tblInputSheet[[#This Row],[Consumer]] = "-", "", tblInputSheet[[#This Row],[Consumer]]), "")</f>
        <v>Key-Claims Adjudication</v>
      </c>
      <c r="I42" s="9" t="str">
        <f>IFERROR(IF(tblInputSheet[[#This Row],[Integration Pattern]] = "-", "", tblInputSheet[[#This Row],[Integration Pattern]]), "")</f>
        <v>PCF Internal (C-to-C)</v>
      </c>
      <c r="J42" s="9" t="str">
        <f>IFERROR(IF(tblInputSheet[[#This Row],[Current State]] = "-", "", tblInputSheet[[#This Row],[Current State]]), "")</f>
        <v>Y</v>
      </c>
      <c r="K42" s="9" t="str">
        <f>IFERROR(IF(tblInputSheet[[#This Row],[End State]] = "-", "", tblInputSheet[[#This Row],[End State]]), "")</f>
        <v>Y</v>
      </c>
      <c r="L42" s="9" t="str">
        <f>IFERROR(IF(tblInputSheet[[#This Row],[MVP]] = "-", "", tblInputSheet[[#This Row],[MVP]]), "")</f>
        <v>Y</v>
      </c>
      <c r="M42" s="9" t="str">
        <f>IFERROR(IF(tblInputSheet[[#This Row],[Confidence Factor]] = "-", "", VLOOKUP(tblInputSheet[[#This Row],[Confidence Factor]], tblConfidenceFactor[], 3,FALSE)), "")</f>
        <v>Medium</v>
      </c>
      <c r="N42" s="9">
        <f>IFERROR(IF(tblInputSheet[[#This Row],[Count of Invocations]] = "", "", tblInputSheet[[#This Row],[Count of Invocations]]), "")</f>
        <v>1</v>
      </c>
      <c r="O42" s="9">
        <f>IFERROR(IF(tblInputSheet[[#This Row],[DB Calls (ms)]] = "", "", tblInputSheet[[#This Row],[DB Calls (ms)]]), "")</f>
        <v>1</v>
      </c>
      <c r="P42" s="9">
        <f>IFERROR(IF(tblInputSheet[[#This Row],[Logic (ms)]] = "", "", tblInputSheet[[#This Row],[Logic (ms)]]), "")</f>
        <v>40</v>
      </c>
      <c r="Q42" s="9">
        <f>IFERROR(IF(tblInputSheet[[#This Row],[Rules (ms)]] = "", "", tblInputSheet[[#This Row],[Rules (ms)]]), "")</f>
        <v>0</v>
      </c>
      <c r="R42" s="9">
        <f>IFERROR(IF(tblInputSheet[[#This Row],[Latency (ms)]] = "", "", tblInputSheet[[#This Row],[Latency (ms)]]), "")</f>
        <v>5</v>
      </c>
      <c r="S42" s="9">
        <f>IFERROR(SUM(tblDisplaySheet[[#This Row],[DB Calls (ms)]:[Latency (ms)]]), "")</f>
        <v>46</v>
      </c>
      <c r="T42" s="9">
        <f>IFERROR(tblDisplaySheet[[#This Row],[Time of Function / Call]]*tblDisplaySheet[[#This Row],[Count of Invocations]], "")</f>
        <v>46</v>
      </c>
      <c r="U42" s="8">
        <v>46</v>
      </c>
      <c r="V42" s="8">
        <f>IFERROR(IF(tblInputSheet[[#This Row],[Process NFR]] = "", "", tblInputSheet[[#This Row],[Process NFR]]), "")</f>
        <v>50</v>
      </c>
      <c r="W42" s="8">
        <f>tblDisplaySheet[[#This Row],[Process NFR]]*tblDisplaySheet[[#This Row],[Count of Invocations]]</f>
        <v>50</v>
      </c>
      <c r="X42" s="8">
        <v>50</v>
      </c>
      <c r="Y42" s="8">
        <f>tblDisplaySheet[[#This Row],[Total Process Path Length NFR]]-tblDisplaySheet[[#This Row],[Total Process Path Length]]</f>
        <v>4</v>
      </c>
      <c r="Z42" s="8" t="str">
        <f>IF(tblDisplaySheet[[#This Row],[Difference]]&gt;=0, "On Target", "Off Target")</f>
        <v>On Target</v>
      </c>
      <c r="AA42" s="8" t="str">
        <f>IFERROR(IF(tblInputSheet[[#This Row],[Is Leaf ?]] = "-", "", tblInputSheet[[#This Row],[Is Leaf ?]]), "")</f>
        <v>N</v>
      </c>
      <c r="AB42" s="8" t="str">
        <f>IFERROR(IF(tblInputSheet[[#This Row],[Owner]] = "", "", tblInputSheet[[#This Row],[Owner]]), "")</f>
        <v>Sankar</v>
      </c>
      <c r="AC42" s="8" t="s">
        <v>20</v>
      </c>
      <c r="AD42" s="9" t="s">
        <v>73</v>
      </c>
    </row>
    <row r="43" spans="1:30" x14ac:dyDescent="0.25">
      <c r="A43" s="8">
        <f>IFERROR(IF(tblInputSheet[[#This Row],[Link]] = "", "", tblInputSheet[[#This Row],[Link]]), "")</f>
        <v>39</v>
      </c>
      <c r="B43" s="9">
        <f>IFERROR(IF(tblInputSheet[[#This Row],[Level]] = "", "", tblInputSheet[[#This Row],[Level]]), "")</f>
        <v>10</v>
      </c>
      <c r="C43" s="9">
        <f>IFERROR(IF(tblInputSheet[[#This Row],[Sl.No]] = "", "", tblInputSheet[[#This Row],[Sl.No]]), "")</f>
        <v>41</v>
      </c>
      <c r="D43" s="9" t="str">
        <f>IFERROR(IF(tblInputSheet[[#This Row],[Group]] = "", "", tblInputSheet[[#This Row],[Group]]), "")</f>
        <v>Service Level - BD</v>
      </c>
      <c r="E43" s="9" t="str">
        <f>IFERROR(IF(tblInputSheet[[#This Row],[Process]] = "", "", REPT("*",Display!$B43)&amp;""&amp;tblInputSheet[[#This Row],[Process]]), "")</f>
        <v>**********Premier Bits API</v>
      </c>
      <c r="F43" s="9" t="str">
        <f>IFERROR(IF(tblInputSheet[[#This Row],[Hosted Platform]] = "", "", tblInputSheet[[#This Row],[Hosted Platform]]), "")</f>
        <v>Cross-Portfolio</v>
      </c>
      <c r="G43" s="9" t="str">
        <f>IFERROR(IF(tblInputSheet[[#This Row],[Provider]] = "-", "", tblInputSheet[[#This Row],[Provider]]), "")</f>
        <v>Provider</v>
      </c>
      <c r="H43" s="9" t="str">
        <f>IFERROR(IF(tblInputSheet[[#This Row],[Consumer]] = "-", "", tblInputSheet[[#This Row],[Consumer]]), "")</f>
        <v>Key-Claims Adjudication</v>
      </c>
      <c r="I43" s="9" t="str">
        <f>IFERROR(IF(tblInputSheet[[#This Row],[Integration Pattern]] = "-", "", tblInputSheet[[#This Row],[Integration Pattern]]), "")</f>
        <v>REST Service - API</v>
      </c>
      <c r="J43" s="9" t="str">
        <f>IFERROR(IF(tblInputSheet[[#This Row],[Current State]] = "-", "", tblInputSheet[[#This Row],[Current State]]), "")</f>
        <v>Y</v>
      </c>
      <c r="K43" s="9" t="str">
        <f>IFERROR(IF(tblInputSheet[[#This Row],[End State]] = "-", "", tblInputSheet[[#This Row],[End State]]), "")</f>
        <v>Y</v>
      </c>
      <c r="L43" s="9" t="str">
        <f>IFERROR(IF(tblInputSheet[[#This Row],[MVP]] = "-", "", tblInputSheet[[#This Row],[MVP]]), "")</f>
        <v>Y</v>
      </c>
      <c r="M43" s="9" t="str">
        <f>IFERROR(IF(tblInputSheet[[#This Row],[Confidence Factor]] = "-", "", VLOOKUP(tblInputSheet[[#This Row],[Confidence Factor]], tblConfidenceFactor[], 3,FALSE)), "")</f>
        <v>Medium</v>
      </c>
      <c r="N43" s="9">
        <f>IFERROR(IF(tblInputSheet[[#This Row],[Count of Invocations]] = "", "", tblInputSheet[[#This Row],[Count of Invocations]]), "")</f>
        <v>1</v>
      </c>
      <c r="O43" s="9">
        <f>IFERROR(IF(tblInputSheet[[#This Row],[DB Calls (ms)]] = "", "", tblInputSheet[[#This Row],[DB Calls (ms)]]), "")</f>
        <v>1</v>
      </c>
      <c r="P43" s="9">
        <f>IFERROR(IF(tblInputSheet[[#This Row],[Logic (ms)]] = "", "", tblInputSheet[[#This Row],[Logic (ms)]]), "")</f>
        <v>1</v>
      </c>
      <c r="Q43" s="9">
        <f>IFERROR(IF(tblInputSheet[[#This Row],[Rules (ms)]] = "", "", tblInputSheet[[#This Row],[Rules (ms)]]), "")</f>
        <v>0</v>
      </c>
      <c r="R43" s="9">
        <f>IFERROR(IF(tblInputSheet[[#This Row],[Latency (ms)]] = "", "", tblInputSheet[[#This Row],[Latency (ms)]]), "")</f>
        <v>15</v>
      </c>
      <c r="S43" s="9">
        <f>IFERROR(SUM(tblDisplaySheet[[#This Row],[DB Calls (ms)]:[Latency (ms)]]), "")</f>
        <v>17</v>
      </c>
      <c r="T43" s="9">
        <f>IFERROR(tblDisplaySheet[[#This Row],[Time of Function / Call]]*tblDisplaySheet[[#This Row],[Count of Invocations]], "")</f>
        <v>17</v>
      </c>
      <c r="U43" s="8">
        <v>17</v>
      </c>
      <c r="V43" s="8">
        <f>IFERROR(IF(tblInputSheet[[#This Row],[Process NFR]] = "", "", tblInputSheet[[#This Row],[Process NFR]]), "")</f>
        <v>30</v>
      </c>
      <c r="W43" s="8">
        <f>tblDisplaySheet[[#This Row],[Process NFR]]*tblDisplaySheet[[#This Row],[Count of Invocations]]</f>
        <v>30</v>
      </c>
      <c r="X43" s="8">
        <v>30</v>
      </c>
      <c r="Y43" s="8">
        <f>tblDisplaySheet[[#This Row],[Total Process Path Length NFR]]-tblDisplaySheet[[#This Row],[Total Process Path Length]]</f>
        <v>13</v>
      </c>
      <c r="Z43" s="8" t="str">
        <f>IF(tblDisplaySheet[[#This Row],[Difference]]&gt;=0, "On Target", "Off Target")</f>
        <v>On Target</v>
      </c>
      <c r="AA43" s="8" t="str">
        <f>IFERROR(IF(tblInputSheet[[#This Row],[Is Leaf ?]] = "-", "", tblInputSheet[[#This Row],[Is Leaf ?]]), "")</f>
        <v>Y</v>
      </c>
      <c r="AB43" s="8" t="str">
        <f>IFERROR(IF(tblInputSheet[[#This Row],[Owner]] = "", "", tblInputSheet[[#This Row],[Owner]]), "")</f>
        <v>Sankar</v>
      </c>
      <c r="AC43" s="8" t="s">
        <v>20</v>
      </c>
      <c r="AD43" s="9" t="s">
        <v>20</v>
      </c>
    </row>
    <row r="44" spans="1:30" x14ac:dyDescent="0.25">
      <c r="A44" s="8">
        <f>IFERROR(IF(tblInputSheet[[#This Row],[Link]] = "", "", tblInputSheet[[#This Row],[Link]]), "")</f>
        <v>39</v>
      </c>
      <c r="B44" s="9">
        <f>IFERROR(IF(tblInputSheet[[#This Row],[Level]] = "", "", tblInputSheet[[#This Row],[Level]]), "")</f>
        <v>10</v>
      </c>
      <c r="C44" s="9">
        <f>IFERROR(IF(tblInputSheet[[#This Row],[Sl.No]] = "", "", tblInputSheet[[#This Row],[Sl.No]]), "")</f>
        <v>42</v>
      </c>
      <c r="D44" s="9" t="str">
        <f>IFERROR(IF(tblInputSheet[[#This Row],[Group]] = "", "", tblInputSheet[[#This Row],[Group]]), "")</f>
        <v>Service Level - BD</v>
      </c>
      <c r="E44" s="9" t="str">
        <f>IFERROR(IF(tblInputSheet[[#This Row],[Process]] = "", "", REPT("*",Display!$B44)&amp;""&amp;tblInputSheet[[#This Row],[Process]]), "")</f>
        <v>**********Service Category to Benefit Provision</v>
      </c>
      <c r="F44" s="9" t="str">
        <f>IFERROR(IF(tblInputSheet[[#This Row],[Hosted Platform]] = "", "", tblInputSheet[[#This Row],[Hosted Platform]]), "")</f>
        <v>PCF</v>
      </c>
      <c r="G44" s="9" t="str">
        <f>IFERROR(IF(tblInputSheet[[#This Row],[Provider]] = "-", "", tblInputSheet[[#This Row],[Provider]]), "")</f>
        <v>Key-Claims Adjudication</v>
      </c>
      <c r="H44" s="9" t="str">
        <f>IFERROR(IF(tblInputSheet[[#This Row],[Consumer]] = "-", "", tblInputSheet[[#This Row],[Consumer]]), "")</f>
        <v>Key-Claims Adjudication</v>
      </c>
      <c r="I44" s="9" t="str">
        <f>IFERROR(IF(tblInputSheet[[#This Row],[Integration Pattern]] = "-", "", tblInputSheet[[#This Row],[Integration Pattern]]), "")</f>
        <v>PCF Internal (C-to-C)</v>
      </c>
      <c r="J44" s="9" t="str">
        <f>IFERROR(IF(tblInputSheet[[#This Row],[Current State]] = "-", "", tblInputSheet[[#This Row],[Current State]]), "")</f>
        <v>Y</v>
      </c>
      <c r="K44" s="9" t="str">
        <f>IFERROR(IF(tblInputSheet[[#This Row],[End State]] = "-", "", tblInputSheet[[#This Row],[End State]]), "")</f>
        <v>Y</v>
      </c>
      <c r="L44" s="9" t="str">
        <f>IFERROR(IF(tblInputSheet[[#This Row],[MVP]] = "-", "", tblInputSheet[[#This Row],[MVP]]), "")</f>
        <v>Y</v>
      </c>
      <c r="M44" s="9" t="str">
        <f>IFERROR(IF(tblInputSheet[[#This Row],[Confidence Factor]] = "-", "", VLOOKUP(tblInputSheet[[#This Row],[Confidence Factor]], tblConfidenceFactor[], 3,FALSE)), "")</f>
        <v>Medium</v>
      </c>
      <c r="N44" s="9">
        <f>IFERROR(IF(tblInputSheet[[#This Row],[Count of Invocations]] = "", "", tblInputSheet[[#This Row],[Count of Invocations]]), "")</f>
        <v>1</v>
      </c>
      <c r="O44" s="9">
        <f>IFERROR(IF(tblInputSheet[[#This Row],[DB Calls (ms)]] = "", "", tblInputSheet[[#This Row],[DB Calls (ms)]]), "")</f>
        <v>1</v>
      </c>
      <c r="P44" s="9">
        <f>IFERROR(IF(tblInputSheet[[#This Row],[Logic (ms)]] = "", "", tblInputSheet[[#This Row],[Logic (ms)]]), "")</f>
        <v>10</v>
      </c>
      <c r="Q44" s="9">
        <f>IFERROR(IF(tblInputSheet[[#This Row],[Rules (ms)]] = "", "", tblInputSheet[[#This Row],[Rules (ms)]]), "")</f>
        <v>0</v>
      </c>
      <c r="R44" s="9">
        <f>IFERROR(IF(tblInputSheet[[#This Row],[Latency (ms)]] = "", "", tblInputSheet[[#This Row],[Latency (ms)]]), "")</f>
        <v>10</v>
      </c>
      <c r="S44" s="9">
        <f>IFERROR(SUM(tblDisplaySheet[[#This Row],[DB Calls (ms)]:[Latency (ms)]]), "")</f>
        <v>21</v>
      </c>
      <c r="T44" s="9">
        <f>IFERROR(tblDisplaySheet[[#This Row],[Time of Function / Call]]*tblDisplaySheet[[#This Row],[Count of Invocations]], "")</f>
        <v>21</v>
      </c>
      <c r="U44" s="8">
        <v>21</v>
      </c>
      <c r="V44" s="8">
        <f>IFERROR(IF(tblInputSheet[[#This Row],[Process NFR]] = "", "", tblInputSheet[[#This Row],[Process NFR]]), "")</f>
        <v>30</v>
      </c>
      <c r="W44" s="8">
        <f>tblDisplaySheet[[#This Row],[Process NFR]]*tblDisplaySheet[[#This Row],[Count of Invocations]]</f>
        <v>30</v>
      </c>
      <c r="X44" s="8">
        <v>30</v>
      </c>
      <c r="Y44" s="8">
        <f>tblDisplaySheet[[#This Row],[Total Process Path Length NFR]]-tblDisplaySheet[[#This Row],[Total Process Path Length]]</f>
        <v>9</v>
      </c>
      <c r="Z44" s="8" t="str">
        <f>IF(tblDisplaySheet[[#This Row],[Difference]]&gt;=0, "On Target", "Off Target")</f>
        <v>On Target</v>
      </c>
      <c r="AA44" s="8" t="str">
        <f>IFERROR(IF(tblInputSheet[[#This Row],[Is Leaf ?]] = "-", "", tblInputSheet[[#This Row],[Is Leaf ?]]), "")</f>
        <v>Y</v>
      </c>
      <c r="AB44" s="8" t="str">
        <f>IFERROR(IF(tblInputSheet[[#This Row],[Owner]] = "", "", tblInputSheet[[#This Row],[Owner]]), "")</f>
        <v>Sankar</v>
      </c>
      <c r="AC44" s="8" t="s">
        <v>20</v>
      </c>
      <c r="AD44" s="9" t="s">
        <v>20</v>
      </c>
    </row>
    <row r="45" spans="1:30" x14ac:dyDescent="0.25">
      <c r="A45" s="8">
        <f>IFERROR(IF(tblInputSheet[[#This Row],[Link]] = "", "", tblInputSheet[[#This Row],[Link]]), "")</f>
        <v>39</v>
      </c>
      <c r="B45" s="9">
        <f>IFERROR(IF(tblInputSheet[[#This Row],[Level]] = "", "", tblInputSheet[[#This Row],[Level]]), "")</f>
        <v>10</v>
      </c>
      <c r="C45" s="9">
        <f>IFERROR(IF(tblInputSheet[[#This Row],[Sl.No]] = "", "", tblInputSheet[[#This Row],[Sl.No]]), "")</f>
        <v>43</v>
      </c>
      <c r="D45" s="9" t="str">
        <f>IFERROR(IF(tblInputSheet[[#This Row],[Group]] = "", "", tblInputSheet[[#This Row],[Group]]), "")</f>
        <v>Service Level - BD</v>
      </c>
      <c r="E45" s="9" t="str">
        <f>IFERROR(IF(tblInputSheet[[#This Row],[Process]] = "", "", REPT("*",Display!$B45)&amp;""&amp;tblInputSheet[[#This Row],[Process]]), "")</f>
        <v>**********PNDS Service</v>
      </c>
      <c r="F45" s="9" t="str">
        <f>IFERROR(IF(tblInputSheet[[#This Row],[Hosted Platform]] = "", "", tblInputSheet[[#This Row],[Hosted Platform]]), "")</f>
        <v>PCF</v>
      </c>
      <c r="G45" s="9" t="str">
        <f>IFERROR(IF(tblInputSheet[[#This Row],[Provider]] = "-", "", tblInputSheet[[#This Row],[Provider]]), "")</f>
        <v>Key-Claims Adjudication</v>
      </c>
      <c r="H45" s="9" t="str">
        <f>IFERROR(IF(tblInputSheet[[#This Row],[Consumer]] = "-", "", tblInputSheet[[#This Row],[Consumer]]), "")</f>
        <v>Key-Claims Adjudication</v>
      </c>
      <c r="I45" s="9" t="str">
        <f>IFERROR(IF(tblInputSheet[[#This Row],[Integration Pattern]] = "-", "", tblInputSheet[[#This Row],[Integration Pattern]]), "")</f>
        <v>PCF Internal (C-to-C)</v>
      </c>
      <c r="J45" s="9" t="str">
        <f>IFERROR(IF(tblInputSheet[[#This Row],[Current State]] = "-", "", tblInputSheet[[#This Row],[Current State]]), "")</f>
        <v>Y</v>
      </c>
      <c r="K45" s="9" t="str">
        <f>IFERROR(IF(tblInputSheet[[#This Row],[End State]] = "-", "", tblInputSheet[[#This Row],[End State]]), "")</f>
        <v>Y</v>
      </c>
      <c r="L45" s="9" t="str">
        <f>IFERROR(IF(tblInputSheet[[#This Row],[MVP]] = "-", "", tblInputSheet[[#This Row],[MVP]]), "")</f>
        <v>Y</v>
      </c>
      <c r="M45" s="9" t="str">
        <f>IFERROR(IF(tblInputSheet[[#This Row],[Confidence Factor]] = "-", "", VLOOKUP(tblInputSheet[[#This Row],[Confidence Factor]], tblConfidenceFactor[], 3,FALSE)), "")</f>
        <v>Medium</v>
      </c>
      <c r="N45" s="9">
        <f>IFERROR(IF(tblInputSheet[[#This Row],[Count of Invocations]] = "", "", tblInputSheet[[#This Row],[Count of Invocations]]), "")</f>
        <v>1</v>
      </c>
      <c r="O45" s="9">
        <f>IFERROR(IF(tblInputSheet[[#This Row],[DB Calls (ms)]] = "", "", tblInputSheet[[#This Row],[DB Calls (ms)]]), "")</f>
        <v>0</v>
      </c>
      <c r="P45" s="9">
        <f>IFERROR(IF(tblInputSheet[[#This Row],[Logic (ms)]] = "", "", tblInputSheet[[#This Row],[Logic (ms)]]), "")</f>
        <v>20</v>
      </c>
      <c r="Q45" s="9">
        <f>IFERROR(IF(tblInputSheet[[#This Row],[Rules (ms)]] = "", "", tblInputSheet[[#This Row],[Rules (ms)]]), "")</f>
        <v>0</v>
      </c>
      <c r="R45" s="9">
        <f>IFERROR(IF(tblInputSheet[[#This Row],[Latency (ms)]] = "", "", tblInputSheet[[#This Row],[Latency (ms)]]), "")</f>
        <v>5</v>
      </c>
      <c r="S45" s="9">
        <f>IFERROR(SUM(tblDisplaySheet[[#This Row],[DB Calls (ms)]:[Latency (ms)]]), "")</f>
        <v>25</v>
      </c>
      <c r="T45" s="9">
        <f>IFERROR(tblDisplaySheet[[#This Row],[Time of Function / Call]]*tblDisplaySheet[[#This Row],[Count of Invocations]], "")</f>
        <v>25</v>
      </c>
      <c r="U45" s="8">
        <v>25</v>
      </c>
      <c r="V45" s="8">
        <f>IFERROR(IF(tblInputSheet[[#This Row],[Process NFR]] = "", "", tblInputSheet[[#This Row],[Process NFR]]), "")</f>
        <v>30</v>
      </c>
      <c r="W45" s="8">
        <f>tblDisplaySheet[[#This Row],[Process NFR]]*tblDisplaySheet[[#This Row],[Count of Invocations]]</f>
        <v>30</v>
      </c>
      <c r="X45" s="8">
        <v>30</v>
      </c>
      <c r="Y45" s="8">
        <f>tblDisplaySheet[[#This Row],[Total Process Path Length NFR]]-tblDisplaySheet[[#This Row],[Total Process Path Length]]</f>
        <v>5</v>
      </c>
      <c r="Z45" s="8" t="str">
        <f>IF(tblDisplaySheet[[#This Row],[Difference]]&gt;=0, "On Target", "Off Target")</f>
        <v>On Target</v>
      </c>
      <c r="AA45" s="8" t="str">
        <f>IFERROR(IF(tblInputSheet[[#This Row],[Is Leaf ?]] = "-", "", tblInputSheet[[#This Row],[Is Leaf ?]]), "")</f>
        <v>Y</v>
      </c>
      <c r="AB45" s="8" t="str">
        <f>IFERROR(IF(tblInputSheet[[#This Row],[Owner]] = "", "", tblInputSheet[[#This Row],[Owner]]), "")</f>
        <v>Sankar</v>
      </c>
      <c r="AC45" s="8" t="s">
        <v>20</v>
      </c>
      <c r="AD45" s="9" t="s">
        <v>20</v>
      </c>
    </row>
    <row r="46" spans="1:30" x14ac:dyDescent="0.25">
      <c r="A46" s="8">
        <f>IFERROR(IF(tblInputSheet[[#This Row],[Link]] = "", "", tblInputSheet[[#This Row],[Link]]), "")</f>
        <v>24</v>
      </c>
      <c r="B46" s="9">
        <f>IFERROR(IF(tblInputSheet[[#This Row],[Level]] = "", "", tblInputSheet[[#This Row],[Level]]), "")</f>
        <v>7</v>
      </c>
      <c r="C46" s="9">
        <f>IFERROR(IF(tblInputSheet[[#This Row],[Sl.No]] = "", "", tblInputSheet[[#This Row],[Sl.No]]), "")</f>
        <v>44</v>
      </c>
      <c r="D46" s="9" t="str">
        <f>IFERROR(IF(tblInputSheet[[#This Row],[Group]] = "", "", tblInputSheet[[#This Row],[Group]]), "")</f>
        <v>Service Level - Medicare</v>
      </c>
      <c r="E46" s="9" t="str">
        <f>IFERROR(IF(tblInputSheet[[#This Row],[Process]] = "", "", REPT("*",Display!$B46)&amp;""&amp;tblInputSheet[[#This Row],[Process]]), "")</f>
        <v>*******Medicare</v>
      </c>
      <c r="F46" s="9" t="str">
        <f>IFERROR(IF(tblInputSheet[[#This Row],[Hosted Platform]] = "", "", tblInputSheet[[#This Row],[Hosted Platform]]), "")</f>
        <v>Business Process</v>
      </c>
      <c r="G46" s="9" t="str">
        <f>IFERROR(IF(tblInputSheet[[#This Row],[Provider]] = "-", "", tblInputSheet[[#This Row],[Provider]]), "")</f>
        <v>NA</v>
      </c>
      <c r="H46" s="9" t="str">
        <f>IFERROR(IF(tblInputSheet[[#This Row],[Consumer]] = "-", "", tblInputSheet[[#This Row],[Consumer]]), "")</f>
        <v>NA</v>
      </c>
      <c r="I46" s="9" t="str">
        <f>IFERROR(IF(tblInputSheet[[#This Row],[Integration Pattern]] = "-", "", tblInputSheet[[#This Row],[Integration Pattern]]), "")</f>
        <v>Group</v>
      </c>
      <c r="J46" s="9" t="str">
        <f>IFERROR(IF(tblInputSheet[[#This Row],[Current State]] = "-", "", tblInputSheet[[#This Row],[Current State]]), "")</f>
        <v>Y</v>
      </c>
      <c r="K46" s="9" t="str">
        <f>IFERROR(IF(tblInputSheet[[#This Row],[End State]] = "-", "", tblInputSheet[[#This Row],[End State]]), "")</f>
        <v>Y</v>
      </c>
      <c r="L46" s="9" t="str">
        <f>IFERROR(IF(tblInputSheet[[#This Row],[MVP]] = "-", "", tblInputSheet[[#This Row],[MVP]]), "")</f>
        <v>Y</v>
      </c>
      <c r="M46" s="9" t="str">
        <f>IFERROR(IF(tblInputSheet[[#This Row],[Confidence Factor]] = "-", "", VLOOKUP(tblInputSheet[[#This Row],[Confidence Factor]], tblConfidenceFactor[], 3,FALSE)), "")</f>
        <v>Medium</v>
      </c>
      <c r="N46" s="9">
        <f>IFERROR(IF(tblInputSheet[[#This Row],[Count of Invocations]] = "", "", tblInputSheet[[#This Row],[Count of Invocations]]), "")</f>
        <v>1</v>
      </c>
      <c r="O46" s="9">
        <f>IFERROR(IF(tblInputSheet[[#This Row],[DB Calls (ms)]] = "", "", tblInputSheet[[#This Row],[DB Calls (ms)]]), "")</f>
        <v>0</v>
      </c>
      <c r="P46" s="9">
        <f>IFERROR(IF(tblInputSheet[[#This Row],[Logic (ms)]] = "", "", tblInputSheet[[#This Row],[Logic (ms)]]), "")</f>
        <v>0</v>
      </c>
      <c r="Q46" s="9">
        <f>IFERROR(IF(tblInputSheet[[#This Row],[Rules (ms)]] = "", "", tblInputSheet[[#This Row],[Rules (ms)]]), "")</f>
        <v>0</v>
      </c>
      <c r="R46" s="9">
        <f>IFERROR(IF(tblInputSheet[[#This Row],[Latency (ms)]] = "", "", tblInputSheet[[#This Row],[Latency (ms)]]), "")</f>
        <v>0</v>
      </c>
      <c r="S46" s="9">
        <f>IFERROR(SUM(tblDisplaySheet[[#This Row],[DB Calls (ms)]:[Latency (ms)]]), "")</f>
        <v>0</v>
      </c>
      <c r="T46" s="9">
        <f>IFERROR(tblDisplaySheet[[#This Row],[Time of Function / Call]]*tblDisplaySheet[[#This Row],[Count of Invocations]], "")</f>
        <v>0</v>
      </c>
      <c r="U46" s="8">
        <v>166</v>
      </c>
      <c r="V46" s="8">
        <f>IFERROR(IF(tblInputSheet[[#This Row],[Process NFR]] = "", "", tblInputSheet[[#This Row],[Process NFR]]), "")</f>
        <v>0</v>
      </c>
      <c r="W46" s="8">
        <f>tblDisplaySheet[[#This Row],[Process NFR]]*tblDisplaySheet[[#This Row],[Count of Invocations]]</f>
        <v>0</v>
      </c>
      <c r="X46" s="8">
        <v>166</v>
      </c>
      <c r="Y46" s="8">
        <f>tblDisplaySheet[[#This Row],[Total Process Path Length NFR]]-tblDisplaySheet[[#This Row],[Total Process Path Length]]</f>
        <v>0</v>
      </c>
      <c r="Z46" s="8" t="str">
        <f>IF(tblDisplaySheet[[#This Row],[Difference]]&gt;=0, "On Target", "Off Target")</f>
        <v>On Target</v>
      </c>
      <c r="AA46" s="8" t="s">
        <v>21</v>
      </c>
      <c r="AB46" s="8" t="str">
        <f>IFERROR(IF(tblInputSheet[[#This Row],[Owner]] = "", "", tblInputSheet[[#This Row],[Owner]]), "")</f>
        <v>Alak</v>
      </c>
      <c r="AC46" s="8" t="s">
        <v>73</v>
      </c>
      <c r="AD46" s="9" t="s">
        <v>20</v>
      </c>
    </row>
    <row r="47" spans="1:30" x14ac:dyDescent="0.25">
      <c r="A47" s="8">
        <f>IFERROR(IF(tblInputSheet[[#This Row],[Link]] = "", "", tblInputSheet[[#This Row],[Link]]), "")</f>
        <v>44</v>
      </c>
      <c r="B47" s="9">
        <f>IFERROR(IF(tblInputSheet[[#This Row],[Level]] = "", "", tblInputSheet[[#This Row],[Level]]), "")</f>
        <v>8</v>
      </c>
      <c r="C47" s="9">
        <f>IFERROR(IF(tblInputSheet[[#This Row],[Sl.No]] = "", "", tblInputSheet[[#This Row],[Sl.No]]), "")</f>
        <v>45</v>
      </c>
      <c r="D47" s="9" t="str">
        <f>IFERROR(IF(tblInputSheet[[#This Row],[Group]] = "", "", tblInputSheet[[#This Row],[Group]]), "")</f>
        <v>Service Level - Medicare</v>
      </c>
      <c r="E47" s="9" t="str">
        <f>IFERROR(IF(tblInputSheet[[#This Row],[Process]] = "", "", REPT("*",Display!$B47)&amp;""&amp;tblInputSheet[[#This Row],[Process]]), "")</f>
        <v>********Medicare Microservice</v>
      </c>
      <c r="F47" s="9" t="str">
        <f>IFERROR(IF(tblInputSheet[[#This Row],[Hosted Platform]] = "", "", tblInputSheet[[#This Row],[Hosted Platform]]), "")</f>
        <v>PCF</v>
      </c>
      <c r="G47" s="9" t="str">
        <f>IFERROR(IF(tblInputSheet[[#This Row],[Provider]] = "-", "", tblInputSheet[[#This Row],[Provider]]), "")</f>
        <v>Key-Claims Adjudication</v>
      </c>
      <c r="H47" s="9" t="str">
        <f>IFERROR(IF(tblInputSheet[[#This Row],[Consumer]] = "-", "", tblInputSheet[[#This Row],[Consumer]]), "")</f>
        <v>Key-Claims Adjudication</v>
      </c>
      <c r="I47" s="9" t="str">
        <f>IFERROR(IF(tblInputSheet[[#This Row],[Integration Pattern]] = "-", "", tblInputSheet[[#This Row],[Integration Pattern]]), "")</f>
        <v>REST Service - ESB</v>
      </c>
      <c r="J47" s="9" t="str">
        <f>IFERROR(IF(tblInputSheet[[#This Row],[Current State]] = "-", "", tblInputSheet[[#This Row],[Current State]]), "")</f>
        <v>Y</v>
      </c>
      <c r="K47" s="9" t="str">
        <f>IFERROR(IF(tblInputSheet[[#This Row],[End State]] = "-", "", tblInputSheet[[#This Row],[End State]]), "")</f>
        <v>Y</v>
      </c>
      <c r="L47" s="9" t="str">
        <f>IFERROR(IF(tblInputSheet[[#This Row],[MVP]] = "-", "", tblInputSheet[[#This Row],[MVP]]), "")</f>
        <v>Y</v>
      </c>
      <c r="M47" s="9" t="str">
        <f>IFERROR(IF(tblInputSheet[[#This Row],[Confidence Factor]] = "-", "", VLOOKUP(tblInputSheet[[#This Row],[Confidence Factor]], tblConfidenceFactor[], 3,FALSE)), "")</f>
        <v>Medium</v>
      </c>
      <c r="N47" s="9">
        <f>IFERROR(IF(tblInputSheet[[#This Row],[Count of Invocations]] = "", "", tblInputSheet[[#This Row],[Count of Invocations]]), "")</f>
        <v>1</v>
      </c>
      <c r="O47" s="9">
        <f>IFERROR(IF(tblInputSheet[[#This Row],[DB Calls (ms)]] = "", "", tblInputSheet[[#This Row],[DB Calls (ms)]]), "")</f>
        <v>0</v>
      </c>
      <c r="P47" s="9">
        <f>IFERROR(IF(tblInputSheet[[#This Row],[Logic (ms)]] = "", "", tblInputSheet[[#This Row],[Logic (ms)]]), "")</f>
        <v>5</v>
      </c>
      <c r="Q47" s="9">
        <f>IFERROR(IF(tblInputSheet[[#This Row],[Rules (ms)]] = "", "", tblInputSheet[[#This Row],[Rules (ms)]]), "")</f>
        <v>0</v>
      </c>
      <c r="R47" s="9">
        <f>IFERROR(IF(tblInputSheet[[#This Row],[Latency (ms)]] = "", "", tblInputSheet[[#This Row],[Latency (ms)]]), "")</f>
        <v>15</v>
      </c>
      <c r="S47" s="9">
        <f>IFERROR(SUM(tblDisplaySheet[[#This Row],[DB Calls (ms)]:[Latency (ms)]]), "")</f>
        <v>20</v>
      </c>
      <c r="T47" s="9">
        <f>IFERROR(tblDisplaySheet[[#This Row],[Time of Function / Call]]*tblDisplaySheet[[#This Row],[Count of Invocations]], "")</f>
        <v>20</v>
      </c>
      <c r="U47" s="8">
        <v>166</v>
      </c>
      <c r="V47" s="8">
        <f>IFERROR(IF(tblInputSheet[[#This Row],[Process NFR]] = "", "", tblInputSheet[[#This Row],[Process NFR]]), "")</f>
        <v>20</v>
      </c>
      <c r="W47" s="8">
        <f>tblDisplaySheet[[#This Row],[Process NFR]]*tblDisplaySheet[[#This Row],[Count of Invocations]]</f>
        <v>20</v>
      </c>
      <c r="X47" s="8">
        <v>166</v>
      </c>
      <c r="Y47" s="8">
        <f>tblDisplaySheet[[#This Row],[Total Process Path Length NFR]]-tblDisplaySheet[[#This Row],[Total Process Path Length]]</f>
        <v>0</v>
      </c>
      <c r="Z47" s="8" t="str">
        <f>IF(tblDisplaySheet[[#This Row],[Difference]]&gt;=0, "On Target", "Off Target")</f>
        <v>On Target</v>
      </c>
      <c r="AA47" s="8" t="str">
        <f>IFERROR(IF(tblInputSheet[[#This Row],[Is Leaf ?]] = "-", "", tblInputSheet[[#This Row],[Is Leaf ?]]), "")</f>
        <v>N</v>
      </c>
      <c r="AB47" s="8" t="str">
        <f>IFERROR(IF(tblInputSheet[[#This Row],[Owner]] = "", "", tblInputSheet[[#This Row],[Owner]]), "")</f>
        <v>Sankar</v>
      </c>
      <c r="AC47" s="8" t="s">
        <v>73</v>
      </c>
      <c r="AD47" s="9" t="s">
        <v>20</v>
      </c>
    </row>
    <row r="48" spans="1:30" x14ac:dyDescent="0.25">
      <c r="A48" s="8">
        <f>IFERROR(IF(tblInputSheet[[#This Row],[Link]] = "", "", tblInputSheet[[#This Row],[Link]]), "")</f>
        <v>45</v>
      </c>
      <c r="B48" s="9">
        <f>IFERROR(IF(tblInputSheet[[#This Row],[Level]] = "", "", tblInputSheet[[#This Row],[Level]]), "")</f>
        <v>9</v>
      </c>
      <c r="C48" s="9">
        <f>IFERROR(IF(tblInputSheet[[#This Row],[Sl.No]] = "", "", tblInputSheet[[#This Row],[Sl.No]]), "")</f>
        <v>46</v>
      </c>
      <c r="D48" s="9" t="str">
        <f>IFERROR(IF(tblInputSheet[[#This Row],[Group]] = "", "", tblInputSheet[[#This Row],[Group]]), "")</f>
        <v>Service Level - Medicare</v>
      </c>
      <c r="E48" s="9" t="str">
        <f>IFERROR(IF(tblInputSheet[[#This Row],[Process]] = "", "", REPT("*",Display!$B48)&amp;""&amp;tblInputSheet[[#This Row],[Process]]), "")</f>
        <v xml:space="preserve">*********Medicare Mule Adapter </v>
      </c>
      <c r="F48" s="9" t="str">
        <f>IFERROR(IF(tblInputSheet[[#This Row],[Hosted Platform]] = "", "", tblInputSheet[[#This Row],[Hosted Platform]]), "")</f>
        <v>Mule ESB</v>
      </c>
      <c r="G48" s="9" t="str">
        <f>IFERROR(IF(tblInputSheet[[#This Row],[Provider]] = "-", "", tblInputSheet[[#This Row],[Provider]]), "")</f>
        <v>Key-Claims Adjudication</v>
      </c>
      <c r="H48" s="9" t="str">
        <f>IFERROR(IF(tblInputSheet[[#This Row],[Consumer]] = "-", "", tblInputSheet[[#This Row],[Consumer]]), "")</f>
        <v>Other</v>
      </c>
      <c r="I48" s="9" t="str">
        <f>IFERROR(IF(tblInputSheet[[#This Row],[Integration Pattern]] = "-", "", tblInputSheet[[#This Row],[Integration Pattern]]), "")</f>
        <v>ESB - CTG Integration</v>
      </c>
      <c r="J48" s="9" t="str">
        <f>IFERROR(IF(tblInputSheet[[#This Row],[Current State]] = "-", "", tblInputSheet[[#This Row],[Current State]]), "")</f>
        <v>Y</v>
      </c>
      <c r="K48" s="9" t="str">
        <f>IFERROR(IF(tblInputSheet[[#This Row],[End State]] = "-", "", tblInputSheet[[#This Row],[End State]]), "")</f>
        <v>N</v>
      </c>
      <c r="L48" s="9" t="str">
        <f>IFERROR(IF(tblInputSheet[[#This Row],[MVP]] = "-", "", tblInputSheet[[#This Row],[MVP]]), "")</f>
        <v>Y</v>
      </c>
      <c r="M48" s="9" t="str">
        <f>IFERROR(IF(tblInputSheet[[#This Row],[Confidence Factor]] = "-", "", VLOOKUP(tblInputSheet[[#This Row],[Confidence Factor]], tblConfidenceFactor[], 3,FALSE)), "")</f>
        <v>Low</v>
      </c>
      <c r="N48" s="9">
        <f>IFERROR(IF(tblInputSheet[[#This Row],[Count of Invocations]] = "", "", tblInputSheet[[#This Row],[Count of Invocations]]), "")</f>
        <v>1</v>
      </c>
      <c r="O48" s="9">
        <f>IFERROR(IF(tblInputSheet[[#This Row],[DB Calls (ms)]] = "", "", tblInputSheet[[#This Row],[DB Calls (ms)]]), "")</f>
        <v>0</v>
      </c>
      <c r="P48" s="9">
        <f>IFERROR(IF(tblInputSheet[[#This Row],[Logic (ms)]] = "", "", tblInputSheet[[#This Row],[Logic (ms)]]), "")</f>
        <v>55</v>
      </c>
      <c r="Q48" s="9">
        <f>IFERROR(IF(tblInputSheet[[#This Row],[Rules (ms)]] = "", "", tblInputSheet[[#This Row],[Rules (ms)]]), "")</f>
        <v>0</v>
      </c>
      <c r="R48" s="9">
        <f>IFERROR(IF(tblInputSheet[[#This Row],[Latency (ms)]] = "", "", tblInputSheet[[#This Row],[Latency (ms)]]), "")</f>
        <v>40</v>
      </c>
      <c r="S48" s="9">
        <f>IFERROR(SUM(tblDisplaySheet[[#This Row],[DB Calls (ms)]:[Latency (ms)]]), "")</f>
        <v>95</v>
      </c>
      <c r="T48" s="9">
        <f>IFERROR(tblDisplaySheet[[#This Row],[Time of Function / Call]]*tblDisplaySheet[[#This Row],[Count of Invocations]], "")</f>
        <v>95</v>
      </c>
      <c r="U48" s="8">
        <v>146</v>
      </c>
      <c r="V48" s="8">
        <f>IFERROR(IF(tblInputSheet[[#This Row],[Process NFR]] = "", "", tblInputSheet[[#This Row],[Process NFR]]), "")</f>
        <v>95</v>
      </c>
      <c r="W48" s="8">
        <f>tblDisplaySheet[[#This Row],[Process NFR]]*tblDisplaySheet[[#This Row],[Count of Invocations]]</f>
        <v>95</v>
      </c>
      <c r="X48" s="8">
        <v>146</v>
      </c>
      <c r="Y48" s="8">
        <f>tblDisplaySheet[[#This Row],[Total Process Path Length NFR]]-tblDisplaySheet[[#This Row],[Total Process Path Length]]</f>
        <v>0</v>
      </c>
      <c r="Z48" s="8" t="str">
        <f>IF(tblDisplaySheet[[#This Row],[Difference]]&gt;=0, "On Target", "Off Target")</f>
        <v>On Target</v>
      </c>
      <c r="AA48" s="8" t="str">
        <f>IFERROR(IF(tblInputSheet[[#This Row],[Is Leaf ?]] = "-", "", tblInputSheet[[#This Row],[Is Leaf ?]]), "")</f>
        <v>N</v>
      </c>
      <c r="AB48" s="8" t="str">
        <f>IFERROR(IF(tblInputSheet[[#This Row],[Owner]] = "", "", tblInputSheet[[#This Row],[Owner]]), "")</f>
        <v>Sankar</v>
      </c>
      <c r="AC48" s="8" t="s">
        <v>73</v>
      </c>
      <c r="AD48" s="9" t="s">
        <v>20</v>
      </c>
    </row>
    <row r="49" spans="1:30" x14ac:dyDescent="0.25">
      <c r="A49" s="8">
        <f>IFERROR(IF(tblInputSheet[[#This Row],[Link]] = "", "", tblInputSheet[[#This Row],[Link]]), "")</f>
        <v>46</v>
      </c>
      <c r="B49" s="9">
        <f>IFERROR(IF(tblInputSheet[[#This Row],[Level]] = "", "", tblInputSheet[[#This Row],[Level]]), "")</f>
        <v>10</v>
      </c>
      <c r="C49" s="9">
        <f>IFERROR(IF(tblInputSheet[[#This Row],[Sl.No]] = "", "", tblInputSheet[[#This Row],[Sl.No]]), "")</f>
        <v>47</v>
      </c>
      <c r="D49" s="9" t="str">
        <f>IFERROR(IF(tblInputSheet[[#This Row],[Group]] = "", "", tblInputSheet[[#This Row],[Group]]), "")</f>
        <v>Service Level - Medicare</v>
      </c>
      <c r="E49" s="9" t="str">
        <f>IFERROR(IF(tblInputSheet[[#This Row],[Process]] = "", "", REPT("*",Display!$B49)&amp;""&amp;tblInputSheet[[#This Row],[Process]]), "")</f>
        <v>**********Invoker</v>
      </c>
      <c r="F49" s="9" t="str">
        <f>IFERROR(IF(tblInputSheet[[#This Row],[Hosted Platform]] = "", "", tblInputSheet[[#This Row],[Hosted Platform]]), "")</f>
        <v>Legacy BC</v>
      </c>
      <c r="G49" s="9" t="str">
        <f>IFERROR(IF(tblInputSheet[[#This Row],[Provider]] = "-", "", tblInputSheet[[#This Row],[Provider]]), "")</f>
        <v>Claims-Legacy</v>
      </c>
      <c r="H49" s="9" t="str">
        <f>IFERROR(IF(tblInputSheet[[#This Row],[Consumer]] = "-", "", tblInputSheet[[#This Row],[Consumer]]), "")</f>
        <v>Claims-Legacy</v>
      </c>
      <c r="I49" s="9" t="str">
        <f>IFERROR(IF(tblInputSheet[[#This Row],[Integration Pattern]] = "-", "", tblInputSheet[[#This Row],[Integration Pattern]]), "")</f>
        <v>BC Internal</v>
      </c>
      <c r="J49" s="9" t="str">
        <f>IFERROR(IF(tblInputSheet[[#This Row],[Current State]] = "-", "", tblInputSheet[[#This Row],[Current State]]), "")</f>
        <v>Y</v>
      </c>
      <c r="K49" s="9" t="str">
        <f>IFERROR(IF(tblInputSheet[[#This Row],[End State]] = "-", "", tblInputSheet[[#This Row],[End State]]), "")</f>
        <v>Y</v>
      </c>
      <c r="L49" s="9" t="str">
        <f>IFERROR(IF(tblInputSheet[[#This Row],[MVP]] = "-", "", tblInputSheet[[#This Row],[MVP]]), "")</f>
        <v>Y</v>
      </c>
      <c r="M49" s="9" t="str">
        <f>IFERROR(IF(tblInputSheet[[#This Row],[Confidence Factor]] = "-", "", VLOOKUP(tblInputSheet[[#This Row],[Confidence Factor]], tblConfidenceFactor[], 3,FALSE)), "")</f>
        <v>Medium</v>
      </c>
      <c r="N49" s="9">
        <f>IFERROR(IF(tblInputSheet[[#This Row],[Count of Invocations]] = "", "", tblInputSheet[[#This Row],[Count of Invocations]]), "")</f>
        <v>1</v>
      </c>
      <c r="O49" s="9">
        <f>IFERROR(IF(tblInputSheet[[#This Row],[DB Calls (ms)]] = "", "", tblInputSheet[[#This Row],[DB Calls (ms)]]), "")</f>
        <v>0</v>
      </c>
      <c r="P49" s="9">
        <f>IFERROR(IF(tblInputSheet[[#This Row],[Logic (ms)]] = "", "", tblInputSheet[[#This Row],[Logic (ms)]]), "")</f>
        <v>1</v>
      </c>
      <c r="Q49" s="9">
        <f>IFERROR(IF(tblInputSheet[[#This Row],[Rules (ms)]] = "", "", tblInputSheet[[#This Row],[Rules (ms)]]), "")</f>
        <v>0</v>
      </c>
      <c r="R49" s="9">
        <f>IFERROR(IF(tblInputSheet[[#This Row],[Latency (ms)]] = "", "", tblInputSheet[[#This Row],[Latency (ms)]]), "")</f>
        <v>0</v>
      </c>
      <c r="S49" s="9">
        <f>IFERROR(SUM(tblDisplaySheet[[#This Row],[DB Calls (ms)]:[Latency (ms)]]), "")</f>
        <v>1</v>
      </c>
      <c r="T49" s="9">
        <f>IFERROR(tblDisplaySheet[[#This Row],[Time of Function / Call]]*tblDisplaySheet[[#This Row],[Count of Invocations]], "")</f>
        <v>1</v>
      </c>
      <c r="U49" s="8">
        <v>51</v>
      </c>
      <c r="V49" s="8">
        <f>IFERROR(IF(tblInputSheet[[#This Row],[Process NFR]] = "", "", tblInputSheet[[#This Row],[Process NFR]]), "")</f>
        <v>1</v>
      </c>
      <c r="W49" s="8">
        <f>tblDisplaySheet[[#This Row],[Process NFR]]*tblDisplaySheet[[#This Row],[Count of Invocations]]</f>
        <v>1</v>
      </c>
      <c r="X49" s="8">
        <v>51</v>
      </c>
      <c r="Y49" s="8">
        <f>tblDisplaySheet[[#This Row],[Total Process Path Length NFR]]-tblDisplaySheet[[#This Row],[Total Process Path Length]]</f>
        <v>0</v>
      </c>
      <c r="Z49" s="8" t="str">
        <f>IF(tblDisplaySheet[[#This Row],[Difference]]&gt;=0, "On Target", "Off Target")</f>
        <v>On Target</v>
      </c>
      <c r="AA49" s="8" t="str">
        <f>IFERROR(IF(tblInputSheet[[#This Row],[Is Leaf ?]] = "-", "", tblInputSheet[[#This Row],[Is Leaf ?]]), "")</f>
        <v>N</v>
      </c>
      <c r="AB49" s="8" t="str">
        <f>IFERROR(IF(tblInputSheet[[#This Row],[Owner]] = "", "", tblInputSheet[[#This Row],[Owner]]), "")</f>
        <v>Sankar</v>
      </c>
      <c r="AC49" s="8" t="s">
        <v>20</v>
      </c>
      <c r="AD49" s="9" t="s">
        <v>20</v>
      </c>
    </row>
    <row r="50" spans="1:30" x14ac:dyDescent="0.25">
      <c r="A50" s="8">
        <f>IFERROR(IF(tblInputSheet[[#This Row],[Link]] = "", "", tblInputSheet[[#This Row],[Link]]), "")</f>
        <v>47</v>
      </c>
      <c r="B50" s="9">
        <f>IFERROR(IF(tblInputSheet[[#This Row],[Level]] = "", "", tblInputSheet[[#This Row],[Level]]), "")</f>
        <v>11</v>
      </c>
      <c r="C50" s="9">
        <f>IFERROR(IF(tblInputSheet[[#This Row],[Sl.No]] = "", "", tblInputSheet[[#This Row],[Sl.No]]), "")</f>
        <v>48</v>
      </c>
      <c r="D50" s="9" t="str">
        <f>IFERROR(IF(tblInputSheet[[#This Row],[Group]] = "", "", tblInputSheet[[#This Row],[Group]]), "")</f>
        <v>Service Level - Medicare</v>
      </c>
      <c r="E50" s="9" t="str">
        <f>IFERROR(IF(tblInputSheet[[#This Row],[Process]] = "", "", REPT("*",Display!$B50)&amp;""&amp;tblInputSheet[[#This Row],[Process]]), "")</f>
        <v>***********Medicare Legacy Module</v>
      </c>
      <c r="F50" s="9" t="str">
        <f>IFERROR(IF(tblInputSheet[[#This Row],[Hosted Platform]] = "", "", tblInputSheet[[#This Row],[Hosted Platform]]), "")</f>
        <v>Legacy BC</v>
      </c>
      <c r="G50" s="9" t="str">
        <f>IFERROR(IF(tblInputSheet[[#This Row],[Provider]] = "-", "", tblInputSheet[[#This Row],[Provider]]), "")</f>
        <v>Claims-Legacy</v>
      </c>
      <c r="H50" s="9" t="str">
        <f>IFERROR(IF(tblInputSheet[[#This Row],[Consumer]] = "-", "", tblInputSheet[[#This Row],[Consumer]]), "")</f>
        <v>Claims-Legacy</v>
      </c>
      <c r="I50" s="9" t="str">
        <f>IFERROR(IF(tblInputSheet[[#This Row],[Integration Pattern]] = "-", "", tblInputSheet[[#This Row],[Integration Pattern]]), "")</f>
        <v>BC Internal</v>
      </c>
      <c r="J50" s="9" t="str">
        <f>IFERROR(IF(tblInputSheet[[#This Row],[Current State]] = "-", "", tblInputSheet[[#This Row],[Current State]]), "")</f>
        <v>Y</v>
      </c>
      <c r="K50" s="9" t="str">
        <f>IFERROR(IF(tblInputSheet[[#This Row],[End State]] = "-", "", tblInputSheet[[#This Row],[End State]]), "")</f>
        <v>Y</v>
      </c>
      <c r="L50" s="9" t="str">
        <f>IFERROR(IF(tblInputSheet[[#This Row],[MVP]] = "-", "", tblInputSheet[[#This Row],[MVP]]), "")</f>
        <v>Y</v>
      </c>
      <c r="M50" s="9" t="str">
        <f>IFERROR(IF(tblInputSheet[[#This Row],[Confidence Factor]] = "-", "", VLOOKUP(tblInputSheet[[#This Row],[Confidence Factor]], tblConfidenceFactor[], 3,FALSE)), "")</f>
        <v>Medium</v>
      </c>
      <c r="N50" s="9">
        <f>IFERROR(IF(tblInputSheet[[#This Row],[Count of Invocations]] = "", "", tblInputSheet[[#This Row],[Count of Invocations]]), "")</f>
        <v>1</v>
      </c>
      <c r="O50" s="9">
        <f>IFERROR(IF(tblInputSheet[[#This Row],[DB Calls (ms)]] = "", "", tblInputSheet[[#This Row],[DB Calls (ms)]]), "")</f>
        <v>0</v>
      </c>
      <c r="P50" s="9">
        <f>IFERROR(IF(tblInputSheet[[#This Row],[Logic (ms)]] = "", "", tblInputSheet[[#This Row],[Logic (ms)]]), "")</f>
        <v>50</v>
      </c>
      <c r="Q50" s="9">
        <f>IFERROR(IF(tblInputSheet[[#This Row],[Rules (ms)]] = "", "", tblInputSheet[[#This Row],[Rules (ms)]]), "")</f>
        <v>0</v>
      </c>
      <c r="R50" s="9">
        <f>IFERROR(IF(tblInputSheet[[#This Row],[Latency (ms)]] = "", "", tblInputSheet[[#This Row],[Latency (ms)]]), "")</f>
        <v>0</v>
      </c>
      <c r="S50" s="9">
        <f>IFERROR(SUM(tblDisplaySheet[[#This Row],[DB Calls (ms)]:[Latency (ms)]]), "")</f>
        <v>50</v>
      </c>
      <c r="T50" s="9">
        <f>IFERROR(tblDisplaySheet[[#This Row],[Time of Function / Call]]*tblDisplaySheet[[#This Row],[Count of Invocations]], "")</f>
        <v>50</v>
      </c>
      <c r="U50" s="8">
        <v>50</v>
      </c>
      <c r="V50" s="8">
        <f>IFERROR(IF(tblInputSheet[[#This Row],[Process NFR]] = "", "", tblInputSheet[[#This Row],[Process NFR]]), "")</f>
        <v>50</v>
      </c>
      <c r="W50" s="8">
        <f>tblDisplaySheet[[#This Row],[Process NFR]]*tblDisplaySheet[[#This Row],[Count of Invocations]]</f>
        <v>50</v>
      </c>
      <c r="X50" s="8">
        <v>50</v>
      </c>
      <c r="Y50" s="8">
        <f>tblDisplaySheet[[#This Row],[Total Process Path Length NFR]]-tblDisplaySheet[[#This Row],[Total Process Path Length]]</f>
        <v>0</v>
      </c>
      <c r="Z50" s="8" t="str">
        <f>IF(tblDisplaySheet[[#This Row],[Difference]]&gt;=0, "On Target", "Off Target")</f>
        <v>On Target</v>
      </c>
      <c r="AA50" s="8" t="str">
        <f>IFERROR(IF(tblInputSheet[[#This Row],[Is Leaf ?]] = "-", "", tblInputSheet[[#This Row],[Is Leaf ?]]), "")</f>
        <v>Y</v>
      </c>
      <c r="AB50" s="8" t="str">
        <f>IFERROR(IF(tblInputSheet[[#This Row],[Owner]] = "", "", tblInputSheet[[#This Row],[Owner]]), "")</f>
        <v>Sankar</v>
      </c>
      <c r="AC50" s="8" t="s">
        <v>20</v>
      </c>
      <c r="AD50" s="9" t="s">
        <v>20</v>
      </c>
    </row>
    <row r="51" spans="1:30" x14ac:dyDescent="0.25">
      <c r="A51" s="9">
        <f>IFERROR(IF(tblInputSheet[[#This Row],[Link]] = "", "", tblInputSheet[[#This Row],[Link]]), "")</f>
        <v>24</v>
      </c>
      <c r="B51" s="9">
        <f>IFERROR(IF(tblInputSheet[[#This Row],[Level]] = "", "", tblInputSheet[[#This Row],[Level]]), "")</f>
        <v>7</v>
      </c>
      <c r="C51" s="9">
        <f>IFERROR(IF(tblInputSheet[[#This Row],[Sl.No]] = "", "", tblInputSheet[[#This Row],[Sl.No]]), "")</f>
        <v>49</v>
      </c>
      <c r="D51" s="9" t="str">
        <f>IFERROR(IF(tblInputSheet[[#This Row],[Group]] = "", "", tblInputSheet[[#This Row],[Group]]), "")</f>
        <v>Service Level - Pricing Engine</v>
      </c>
      <c r="E51" s="9" t="str">
        <f>IFERROR(IF(tblInputSheet[[#This Row],[Process]] = "", "", REPT("*",Display!$B51)&amp;""&amp;tblInputSheet[[#This Row],[Process]]), "")</f>
        <v xml:space="preserve">*******Pricing </v>
      </c>
      <c r="F51" s="9" t="str">
        <f>IFERROR(IF(tblInputSheet[[#This Row],[Hosted Platform]] = "", "", tblInputSheet[[#This Row],[Hosted Platform]]), "")</f>
        <v>Business Process</v>
      </c>
      <c r="G51" s="9" t="str">
        <f>IFERROR(IF(tblInputSheet[[#This Row],[Provider]] = "-", "", tblInputSheet[[#This Row],[Provider]]), "")</f>
        <v>NA</v>
      </c>
      <c r="H51" s="9" t="str">
        <f>IFERROR(IF(tblInputSheet[[#This Row],[Consumer]] = "-", "", tblInputSheet[[#This Row],[Consumer]]), "")</f>
        <v>NA</v>
      </c>
      <c r="I51" s="9" t="str">
        <f>IFERROR(IF(tblInputSheet[[#This Row],[Integration Pattern]] = "-", "", tblInputSheet[[#This Row],[Integration Pattern]]), "")</f>
        <v>Group</v>
      </c>
      <c r="J51" s="9" t="str">
        <f>IFERROR(IF(tblInputSheet[[#This Row],[Current State]] = "-", "", tblInputSheet[[#This Row],[Current State]]), "")</f>
        <v>Y</v>
      </c>
      <c r="K51" s="9" t="str">
        <f>IFERROR(IF(tblInputSheet[[#This Row],[End State]] = "-", "", tblInputSheet[[#This Row],[End State]]), "")</f>
        <v>Y</v>
      </c>
      <c r="L51" s="9" t="str">
        <f>IFERROR(IF(tblInputSheet[[#This Row],[MVP]] = "-", "", tblInputSheet[[#This Row],[MVP]]), "")</f>
        <v>Y</v>
      </c>
      <c r="M51" s="9" t="str">
        <f>IFERROR(IF(tblInputSheet[[#This Row],[Confidence Factor]] = "-", "", VLOOKUP(tblInputSheet[[#This Row],[Confidence Factor]], tblConfidenceFactor[], 3,FALSE)), "")</f>
        <v>Group</v>
      </c>
      <c r="N51" s="9">
        <f>IFERROR(IF(tblInputSheet[[#This Row],[Count of Invocations]] = "", "", tblInputSheet[[#This Row],[Count of Invocations]]), "")</f>
        <v>1</v>
      </c>
      <c r="O51" s="9">
        <f>IFERROR(IF(tblInputSheet[[#This Row],[DB Calls (ms)]] = "", "", tblInputSheet[[#This Row],[DB Calls (ms)]]), "")</f>
        <v>0</v>
      </c>
      <c r="P51" s="9">
        <f>IFERROR(IF(tblInputSheet[[#This Row],[Logic (ms)]] = "", "", tblInputSheet[[#This Row],[Logic (ms)]]), "")</f>
        <v>0</v>
      </c>
      <c r="Q51" s="9">
        <f>IFERROR(IF(tblInputSheet[[#This Row],[Rules (ms)]] = "", "", tblInputSheet[[#This Row],[Rules (ms)]]), "")</f>
        <v>0</v>
      </c>
      <c r="R51" s="9">
        <f>IFERROR(IF(tblInputSheet[[#This Row],[Latency (ms)]] = "", "", tblInputSheet[[#This Row],[Latency (ms)]]), "")</f>
        <v>0</v>
      </c>
      <c r="S51" s="9">
        <f>IFERROR(SUM(tblDisplaySheet[[#This Row],[DB Calls (ms)]:[Latency (ms)]]), "")</f>
        <v>0</v>
      </c>
      <c r="T51" s="9">
        <f>IFERROR(tblDisplaySheet[[#This Row],[Time of Function / Call]]*tblDisplaySheet[[#This Row],[Count of Invocations]], "")</f>
        <v>0</v>
      </c>
      <c r="U51" s="8">
        <v>2535</v>
      </c>
      <c r="V51" s="8">
        <f>IFERROR(IF(tblInputSheet[[#This Row],[Process NFR]] = "", "", tblInputSheet[[#This Row],[Process NFR]]), "")</f>
        <v>0</v>
      </c>
      <c r="W51" s="8">
        <f>tblDisplaySheet[[#This Row],[Process NFR]]*tblDisplaySheet[[#This Row],[Count of Invocations]]</f>
        <v>0</v>
      </c>
      <c r="X51" s="9">
        <v>2672</v>
      </c>
      <c r="Y51" s="9">
        <f>tblDisplaySheet[[#This Row],[Total Process Path Length NFR]]-tblDisplaySheet[[#This Row],[Total Process Path Length]]</f>
        <v>137</v>
      </c>
      <c r="Z51" s="8" t="str">
        <f>IF(tblDisplaySheet[[#This Row],[Difference]]&gt;=0, "On Target", "Off Target")</f>
        <v>On Target</v>
      </c>
      <c r="AA51" s="8" t="str">
        <f>IFERROR(IF(tblInputSheet[[#This Row],[Is Leaf ?]] = "-", "", tblInputSheet[[#This Row],[Is Leaf ?]]), "")</f>
        <v>G</v>
      </c>
      <c r="AB51" s="8" t="str">
        <f>IFERROR(IF(tblInputSheet[[#This Row],[Owner]] = "", "", tblInputSheet[[#This Row],[Owner]]), "")</f>
        <v>Alak</v>
      </c>
      <c r="AC51" s="8" t="s">
        <v>73</v>
      </c>
      <c r="AD51" s="9" t="s">
        <v>20</v>
      </c>
    </row>
    <row r="52" spans="1:30" x14ac:dyDescent="0.25">
      <c r="A52" s="9">
        <f>IFERROR(IF(tblInputSheet[[#This Row],[Link]] = "", "", tblInputSheet[[#This Row],[Link]]), "")</f>
        <v>49</v>
      </c>
      <c r="B52" s="9">
        <f>IFERROR(IF(tblInputSheet[[#This Row],[Level]] = "", "", tblInputSheet[[#This Row],[Level]]), "")</f>
        <v>8</v>
      </c>
      <c r="C52" s="9">
        <f>IFERROR(IF(tblInputSheet[[#This Row],[Sl.No]] = "", "", tblInputSheet[[#This Row],[Sl.No]]), "")</f>
        <v>50</v>
      </c>
      <c r="D52" s="9" t="str">
        <f>IFERROR(IF(tblInputSheet[[#This Row],[Group]] = "", "", tblInputSheet[[#This Row],[Group]]), "")</f>
        <v>Service Level - Pricing Engine</v>
      </c>
      <c r="E52" s="9" t="str">
        <f>IFERROR(IF(tblInputSheet[[#This Row],[Process]] = "", "", REPT("*",Display!$B52)&amp;""&amp;tblInputSheet[[#This Row],[Process]]), "")</f>
        <v>********Pricing Engine Microservice</v>
      </c>
      <c r="F52" s="9" t="str">
        <f>IFERROR(IF(tblInputSheet[[#This Row],[Hosted Platform]] = "", "", tblInputSheet[[#This Row],[Hosted Platform]]), "")</f>
        <v>PCF</v>
      </c>
      <c r="G52" s="9" t="str">
        <f>IFERROR(IF(tblInputSheet[[#This Row],[Provider]] = "-", "", tblInputSheet[[#This Row],[Provider]]), "")</f>
        <v>Key-Claims Adjudication</v>
      </c>
      <c r="H52" s="9" t="str">
        <f>IFERROR(IF(tblInputSheet[[#This Row],[Consumer]] = "-", "", tblInputSheet[[#This Row],[Consumer]]), "")</f>
        <v>Key-Claims Adjudication</v>
      </c>
      <c r="I52" s="9" t="str">
        <f>IFERROR(IF(tblInputSheet[[#This Row],[Integration Pattern]] = "-", "", tblInputSheet[[#This Row],[Integration Pattern]]), "")</f>
        <v>PCF Internal (C-to-C)</v>
      </c>
      <c r="J52" s="9" t="str">
        <f>IFERROR(IF(tblInputSheet[[#This Row],[Current State]] = "-", "", tblInputSheet[[#This Row],[Current State]]), "")</f>
        <v>Y</v>
      </c>
      <c r="K52" s="9" t="str">
        <f>IFERROR(IF(tblInputSheet[[#This Row],[End State]] = "-", "", tblInputSheet[[#This Row],[End State]]), "")</f>
        <v>Y</v>
      </c>
      <c r="L52" s="9" t="str">
        <f>IFERROR(IF(tblInputSheet[[#This Row],[MVP]] = "-", "", tblInputSheet[[#This Row],[MVP]]), "")</f>
        <v>Y</v>
      </c>
      <c r="M52" s="9" t="str">
        <f>IFERROR(IF(tblInputSheet[[#This Row],[Confidence Factor]] = "-", "", VLOOKUP(tblInputSheet[[#This Row],[Confidence Factor]], tblConfidenceFactor[], 3,FALSE)), "")</f>
        <v>Low</v>
      </c>
      <c r="N52" s="9">
        <f>IFERROR(IF(tblInputSheet[[#This Row],[Count of Invocations]] = "", "", tblInputSheet[[#This Row],[Count of Invocations]]), "")</f>
        <v>1</v>
      </c>
      <c r="O52" s="9">
        <f>IFERROR(IF(tblInputSheet[[#This Row],[DB Calls (ms)]] = "", "", tblInputSheet[[#This Row],[DB Calls (ms)]]), "")</f>
        <v>0</v>
      </c>
      <c r="P52" s="9">
        <f>IFERROR(IF(tblInputSheet[[#This Row],[Logic (ms)]] = "", "", tblInputSheet[[#This Row],[Logic (ms)]]), "")</f>
        <v>500</v>
      </c>
      <c r="Q52" s="9">
        <f>IFERROR(IF(tblInputSheet[[#This Row],[Rules (ms)]] = "", "", tblInputSheet[[#This Row],[Rules (ms)]]), "")</f>
        <v>0</v>
      </c>
      <c r="R52" s="9">
        <f>IFERROR(IF(tblInputSheet[[#This Row],[Latency (ms)]] = "", "", tblInputSheet[[#This Row],[Latency (ms)]]), "")</f>
        <v>5</v>
      </c>
      <c r="S52" s="9">
        <f>IFERROR(SUM(tblDisplaySheet[[#This Row],[DB Calls (ms)]:[Latency (ms)]]), "")</f>
        <v>505</v>
      </c>
      <c r="T52" s="9">
        <f>IFERROR(tblDisplaySheet[[#This Row],[Time of Function / Call]]*tblDisplaySheet[[#This Row],[Count of Invocations]], "")</f>
        <v>505</v>
      </c>
      <c r="U52" s="9">
        <v>2535</v>
      </c>
      <c r="V52" s="9">
        <f>IFERROR(IF(tblInputSheet[[#This Row],[Process NFR]] = "", "", tblInputSheet[[#This Row],[Process NFR]]), "")</f>
        <v>500</v>
      </c>
      <c r="W52" s="9">
        <f>tblDisplaySheet[[#This Row],[Process NFR]]*tblDisplaySheet[[#This Row],[Count of Invocations]]</f>
        <v>500</v>
      </c>
      <c r="X52" s="9">
        <v>2672</v>
      </c>
      <c r="Y52" s="9">
        <f>tblDisplaySheet[[#This Row],[Total Process Path Length NFR]]-tblDisplaySheet[[#This Row],[Total Process Path Length]]</f>
        <v>137</v>
      </c>
      <c r="Z52" s="9" t="str">
        <f>IF(tblDisplaySheet[[#This Row],[Difference]]&gt;=0, "On Target", "Off Target")</f>
        <v>On Target</v>
      </c>
      <c r="AA52" s="8" t="str">
        <f>IFERROR(IF(tblInputSheet[[#This Row],[Is Leaf ?]] = "-", "", tblInputSheet[[#This Row],[Is Leaf ?]]), "")</f>
        <v>N</v>
      </c>
      <c r="AB52" s="8" t="str">
        <f>IFERROR(IF(tblInputSheet[[#This Row],[Owner]] = "", "", tblInputSheet[[#This Row],[Owner]]), "")</f>
        <v>Alak</v>
      </c>
      <c r="AC52" s="8" t="s">
        <v>73</v>
      </c>
      <c r="AD52" s="9" t="s">
        <v>20</v>
      </c>
    </row>
    <row r="53" spans="1:30" x14ac:dyDescent="0.25">
      <c r="A53" s="9">
        <f>IFERROR(IF(tblInputSheet[[#This Row],[Link]] = "", "", tblInputSheet[[#This Row],[Link]]), "")</f>
        <v>50</v>
      </c>
      <c r="B53" s="9">
        <f>IFERROR(IF(tblInputSheet[[#This Row],[Level]] = "", "", tblInputSheet[[#This Row],[Level]]), "")</f>
        <v>9</v>
      </c>
      <c r="C53" s="9">
        <f>IFERROR(IF(tblInputSheet[[#This Row],[Sl.No]] = "", "", tblInputSheet[[#This Row],[Sl.No]]), "")</f>
        <v>51</v>
      </c>
      <c r="D53" s="9" t="str">
        <f>IFERROR(IF(tblInputSheet[[#This Row],[Group]] = "", "", tblInputSheet[[#This Row],[Group]]), "")</f>
        <v>Service Level - Pricing Engine</v>
      </c>
      <c r="E53" s="9" t="str">
        <f>IFERROR(IF(tblInputSheet[[#This Row],[Process]] = "", "", REPT("*",Display!$B53)&amp;""&amp;tblInputSheet[[#This Row],[Process]]), "")</f>
        <v>*********Reference Lookup Microservice</v>
      </c>
      <c r="F53" s="9" t="str">
        <f>IFERROR(IF(tblInputSheet[[#This Row],[Hosted Platform]] = "", "", tblInputSheet[[#This Row],[Hosted Platform]]), "")</f>
        <v>PCF</v>
      </c>
      <c r="G53" s="9" t="str">
        <f>IFERROR(IF(tblInputSheet[[#This Row],[Provider]] = "-", "", tblInputSheet[[#This Row],[Provider]]), "")</f>
        <v>Key-Claims Adjudication</v>
      </c>
      <c r="H53" s="9" t="str">
        <f>IFERROR(IF(tblInputSheet[[#This Row],[Consumer]] = "-", "", tblInputSheet[[#This Row],[Consumer]]), "")</f>
        <v>Key-Claims Adjudication</v>
      </c>
      <c r="I53" s="9" t="str">
        <f>IFERROR(IF(tblInputSheet[[#This Row],[Integration Pattern]] = "-", "", tblInputSheet[[#This Row],[Integration Pattern]]), "")</f>
        <v>PCF Internal (C-to-C)</v>
      </c>
      <c r="J53" s="9" t="str">
        <f>IFERROR(IF(tblInputSheet[[#This Row],[Current State]] = "-", "", tblInputSheet[[#This Row],[Current State]]), "")</f>
        <v>Y</v>
      </c>
      <c r="K53" s="9" t="str">
        <f>IFERROR(IF(tblInputSheet[[#This Row],[End State]] = "-", "", tblInputSheet[[#This Row],[End State]]), "")</f>
        <v>Y</v>
      </c>
      <c r="L53" s="9" t="str">
        <f>IFERROR(IF(tblInputSheet[[#This Row],[MVP]] = "-", "", tblInputSheet[[#This Row],[MVP]]), "")</f>
        <v>Y</v>
      </c>
      <c r="M53" s="9" t="str">
        <f>IFERROR(IF(tblInputSheet[[#This Row],[Confidence Factor]] = "-", "", VLOOKUP(tblInputSheet[[#This Row],[Confidence Factor]], tblConfidenceFactor[], 3,FALSE)), "")</f>
        <v>Medium</v>
      </c>
      <c r="N53" s="9">
        <f>IFERROR(IF(tblInputSheet[[#This Row],[Count of Invocations]] = "", "", tblInputSheet[[#This Row],[Count of Invocations]]), "")</f>
        <v>1</v>
      </c>
      <c r="O53" s="9">
        <f>IFERROR(IF(tblInputSheet[[#This Row],[DB Calls (ms)]] = "", "", tblInputSheet[[#This Row],[DB Calls (ms)]]), "")</f>
        <v>1</v>
      </c>
      <c r="P53" s="9">
        <f>IFERROR(IF(tblInputSheet[[#This Row],[Logic (ms)]] = "", "", tblInputSheet[[#This Row],[Logic (ms)]]), "")</f>
        <v>5</v>
      </c>
      <c r="Q53" s="9">
        <f>IFERROR(IF(tblInputSheet[[#This Row],[Rules (ms)]] = "", "", tblInputSheet[[#This Row],[Rules (ms)]]), "")</f>
        <v>0</v>
      </c>
      <c r="R53" s="9">
        <f>IFERROR(IF(tblInputSheet[[#This Row],[Latency (ms)]] = "", "", tblInputSheet[[#This Row],[Latency (ms)]]), "")</f>
        <v>5</v>
      </c>
      <c r="S53" s="9">
        <f>IFERROR(SUM(tblDisplaySheet[[#This Row],[DB Calls (ms)]:[Latency (ms)]]), "")</f>
        <v>11</v>
      </c>
      <c r="T53" s="9">
        <f>IFERROR(tblDisplaySheet[[#This Row],[Time of Function / Call]]*tblDisplaySheet[[#This Row],[Count of Invocations]], "")</f>
        <v>11</v>
      </c>
      <c r="U53" s="9">
        <v>11</v>
      </c>
      <c r="V53" s="9">
        <f>IFERROR(IF(tblInputSheet[[#This Row],[Process NFR]] = "", "", tblInputSheet[[#This Row],[Process NFR]]), "")</f>
        <v>30</v>
      </c>
      <c r="W53" s="9">
        <f>tblDisplaySheet[[#This Row],[Process NFR]]*tblDisplaySheet[[#This Row],[Count of Invocations]]</f>
        <v>30</v>
      </c>
      <c r="X53" s="9">
        <v>30</v>
      </c>
      <c r="Y53" s="9">
        <f>tblDisplaySheet[[#This Row],[Total Process Path Length NFR]]-tblDisplaySheet[[#This Row],[Total Process Path Length]]</f>
        <v>19</v>
      </c>
      <c r="Z53" s="9" t="str">
        <f>IF(tblDisplaySheet[[#This Row],[Difference]]&gt;=0, "On Target", "Off Target")</f>
        <v>On Target</v>
      </c>
      <c r="AA53" s="8" t="str">
        <f>IFERROR(IF(tblInputSheet[[#This Row],[Is Leaf ?]] = "-", "", tblInputSheet[[#This Row],[Is Leaf ?]]), "")</f>
        <v>Y</v>
      </c>
      <c r="AB53" s="8" t="str">
        <f>IFERROR(IF(tblInputSheet[[#This Row],[Owner]] = "", "", tblInputSheet[[#This Row],[Owner]]), "")</f>
        <v>Alak</v>
      </c>
      <c r="AC53" s="8" t="s">
        <v>20</v>
      </c>
      <c r="AD53" s="9" t="s">
        <v>20</v>
      </c>
    </row>
    <row r="54" spans="1:30" x14ac:dyDescent="0.25">
      <c r="A54" s="9">
        <f>IFERROR(IF(tblInputSheet[[#This Row],[Link]] = "", "", tblInputSheet[[#This Row],[Link]]), "")</f>
        <v>50</v>
      </c>
      <c r="B54" s="9">
        <f>IFERROR(IF(tblInputSheet[[#This Row],[Level]] = "", "", tblInputSheet[[#This Row],[Level]]), "")</f>
        <v>9</v>
      </c>
      <c r="C54" s="9">
        <f>IFERROR(IF(tblInputSheet[[#This Row],[Sl.No]] = "", "", tblInputSheet[[#This Row],[Sl.No]]), "")</f>
        <v>52</v>
      </c>
      <c r="D54" s="9" t="str">
        <f>IFERROR(IF(tblInputSheet[[#This Row],[Group]] = "", "", tblInputSheet[[#This Row],[Group]]), "")</f>
        <v>Service Level - Pricing Engine</v>
      </c>
      <c r="E54" s="9" t="str">
        <f>IFERROR(IF(tblInputSheet[[#This Row],[Process]] = "", "", REPT("*",Display!$B54)&amp;""&amp;tblInputSheet[[#This Row],[Process]]), "")</f>
        <v>*********Claim Provider Service</v>
      </c>
      <c r="F54" s="9" t="str">
        <f>IFERROR(IF(tblInputSheet[[#This Row],[Hosted Platform]] = "", "", tblInputSheet[[#This Row],[Hosted Platform]]), "")</f>
        <v>PCF</v>
      </c>
      <c r="G54" s="9" t="str">
        <f>IFERROR(IF(tblInputSheet[[#This Row],[Provider]] = "-", "", tblInputSheet[[#This Row],[Provider]]), "")</f>
        <v>Key-Claims Adjudication</v>
      </c>
      <c r="H54" s="9" t="str">
        <f>IFERROR(IF(tblInputSheet[[#This Row],[Consumer]] = "-", "", tblInputSheet[[#This Row],[Consumer]]), "")</f>
        <v>Key-Claims Adjudication</v>
      </c>
      <c r="I54" s="9" t="str">
        <f>IFERROR(IF(tblInputSheet[[#This Row],[Integration Pattern]] = "-", "", tblInputSheet[[#This Row],[Integration Pattern]]), "")</f>
        <v>PCF Internal (C-to-C)</v>
      </c>
      <c r="J54" s="9" t="str">
        <f>IFERROR(IF(tblInputSheet[[#This Row],[Current State]] = "-", "", tblInputSheet[[#This Row],[Current State]]), "")</f>
        <v>Y</v>
      </c>
      <c r="K54" s="9" t="str">
        <f>IFERROR(IF(tblInputSheet[[#This Row],[End State]] = "-", "", tblInputSheet[[#This Row],[End State]]), "")</f>
        <v>Y</v>
      </c>
      <c r="L54" s="9" t="str">
        <f>IFERROR(IF(tblInputSheet[[#This Row],[MVP]] = "-", "", tblInputSheet[[#This Row],[MVP]]), "")</f>
        <v>Y</v>
      </c>
      <c r="M54" s="9" t="str">
        <f>IFERROR(IF(tblInputSheet[[#This Row],[Confidence Factor]] = "-", "", VLOOKUP(tblInputSheet[[#This Row],[Confidence Factor]], tblConfidenceFactor[], 3,FALSE)), "")</f>
        <v>Medium</v>
      </c>
      <c r="N54" s="9">
        <f>IFERROR(IF(tblInputSheet[[#This Row],[Count of Invocations]] = "", "", tblInputSheet[[#This Row],[Count of Invocations]]), "")</f>
        <v>1</v>
      </c>
      <c r="O54" s="9">
        <f>IFERROR(IF(tblInputSheet[[#This Row],[DB Calls (ms)]] = "", "", tblInputSheet[[#This Row],[DB Calls (ms)]]), "")</f>
        <v>1</v>
      </c>
      <c r="P54" s="9">
        <f>IFERROR(IF(tblInputSheet[[#This Row],[Logic (ms)]] = "", "", tblInputSheet[[#This Row],[Logic (ms)]]), "")</f>
        <v>40</v>
      </c>
      <c r="Q54" s="9">
        <f>IFERROR(IF(tblInputSheet[[#This Row],[Rules (ms)]] = "", "", tblInputSheet[[#This Row],[Rules (ms)]]), "")</f>
        <v>0</v>
      </c>
      <c r="R54" s="9">
        <f>IFERROR(IF(tblInputSheet[[#This Row],[Latency (ms)]] = "", "", tblInputSheet[[#This Row],[Latency (ms)]]), "")</f>
        <v>15</v>
      </c>
      <c r="S54" s="9">
        <f>IFERROR(SUM(tblDisplaySheet[[#This Row],[DB Calls (ms)]:[Latency (ms)]]), "")</f>
        <v>56</v>
      </c>
      <c r="T54" s="9">
        <f>IFERROR(tblDisplaySheet[[#This Row],[Time of Function / Call]]*tblDisplaySheet[[#This Row],[Count of Invocations]], "")</f>
        <v>56</v>
      </c>
      <c r="U54" s="9">
        <v>56</v>
      </c>
      <c r="V54" s="9">
        <f>IFERROR(IF(tblInputSheet[[#This Row],[Process NFR]] = "", "", tblInputSheet[[#This Row],[Process NFR]]), "")</f>
        <v>65</v>
      </c>
      <c r="W54" s="9">
        <f>tblDisplaySheet[[#This Row],[Process NFR]]*tblDisplaySheet[[#This Row],[Count of Invocations]]</f>
        <v>65</v>
      </c>
      <c r="X54" s="9">
        <v>65</v>
      </c>
      <c r="Y54" s="9">
        <f>tblDisplaySheet[[#This Row],[Total Process Path Length NFR]]-tblDisplaySheet[[#This Row],[Total Process Path Length]]</f>
        <v>9</v>
      </c>
      <c r="Z54" s="9" t="str">
        <f>IF(tblDisplaySheet[[#This Row],[Difference]]&gt;=0, "On Target", "Off Target")</f>
        <v>On Target</v>
      </c>
      <c r="AA54" s="8" t="str">
        <f>IFERROR(IF(tblInputSheet[[#This Row],[Is Leaf ?]] = "-", "", tblInputSheet[[#This Row],[Is Leaf ?]]), "")</f>
        <v>Y</v>
      </c>
      <c r="AB54" s="8" t="str">
        <f>IFERROR(IF(tblInputSheet[[#This Row],[Owner]] = "", "", tblInputSheet[[#This Row],[Owner]]), "")</f>
        <v>Alak</v>
      </c>
      <c r="AC54" s="8" t="s">
        <v>20</v>
      </c>
      <c r="AD54" s="9" t="s">
        <v>73</v>
      </c>
    </row>
    <row r="55" spans="1:30" x14ac:dyDescent="0.25">
      <c r="A55" s="9">
        <f>IFERROR(IF(tblInputSheet[[#This Row],[Link]] = "", "", tblInputSheet[[#This Row],[Link]]), "")</f>
        <v>50</v>
      </c>
      <c r="B55" s="9">
        <f>IFERROR(IF(tblInputSheet[[#This Row],[Level]] = "", "", tblInputSheet[[#This Row],[Level]]), "")</f>
        <v>9</v>
      </c>
      <c r="C55" s="9">
        <f>IFERROR(IF(tblInputSheet[[#This Row],[Sl.No]] = "", "", tblInputSheet[[#This Row],[Sl.No]]), "")</f>
        <v>53</v>
      </c>
      <c r="D55" s="9" t="str">
        <f>IFERROR(IF(tblInputSheet[[#This Row],[Group]] = "", "", tblInputSheet[[#This Row],[Group]]), "")</f>
        <v>Service Level - Pricing Engine</v>
      </c>
      <c r="E55" s="9" t="str">
        <f>IFERROR(IF(tblInputSheet[[#This Row],[Process]] = "", "", REPT("*",Display!$B55)&amp;""&amp;tblInputSheet[[#This Row],[Process]]), "")</f>
        <v>*********Contract API</v>
      </c>
      <c r="F55" s="9" t="str">
        <f>IFERROR(IF(tblInputSheet[[#This Row],[Hosted Platform]] = "", "", tblInputSheet[[#This Row],[Hosted Platform]]), "")</f>
        <v>PCF</v>
      </c>
      <c r="G55" s="9" t="str">
        <f>IFERROR(IF(tblInputSheet[[#This Row],[Provider]] = "-", "", tblInputSheet[[#This Row],[Provider]]), "")</f>
        <v>Key-Claims Adjudication</v>
      </c>
      <c r="H55" s="9" t="str">
        <f>IFERROR(IF(tblInputSheet[[#This Row],[Consumer]] = "-", "", tblInputSheet[[#This Row],[Consumer]]), "")</f>
        <v>Key-Claims Adjudication</v>
      </c>
      <c r="I55" s="9" t="str">
        <f>IFERROR(IF(tblInputSheet[[#This Row],[Integration Pattern]] = "-", "", tblInputSheet[[#This Row],[Integration Pattern]]), "")</f>
        <v>PCF Internal (C-to-C)</v>
      </c>
      <c r="J55" s="9" t="str">
        <f>IFERROR(IF(tblInputSheet[[#This Row],[Current State]] = "-", "", tblInputSheet[[#This Row],[Current State]]), "")</f>
        <v>Y</v>
      </c>
      <c r="K55" s="9" t="str">
        <f>IFERROR(IF(tblInputSheet[[#This Row],[End State]] = "-", "", tblInputSheet[[#This Row],[End State]]), "")</f>
        <v>Y</v>
      </c>
      <c r="L55" s="9" t="str">
        <f>IFERROR(IF(tblInputSheet[[#This Row],[MVP]] = "-", "", tblInputSheet[[#This Row],[MVP]]), "")</f>
        <v>Y</v>
      </c>
      <c r="M55" s="9" t="str">
        <f>IFERROR(IF(tblInputSheet[[#This Row],[Confidence Factor]] = "-", "", VLOOKUP(tblInputSheet[[#This Row],[Confidence Factor]], tblConfidenceFactor[], 3,FALSE)), "")</f>
        <v>Medium</v>
      </c>
      <c r="N55" s="9">
        <f>IFERROR(IF(tblInputSheet[[#This Row],[Count of Invocations]] = "", "", tblInputSheet[[#This Row],[Count of Invocations]]), "")</f>
        <v>1</v>
      </c>
      <c r="O55" s="9">
        <f>IFERROR(IF(tblInputSheet[[#This Row],[DB Calls (ms)]] = "", "", tblInputSheet[[#This Row],[DB Calls (ms)]]), "")</f>
        <v>5</v>
      </c>
      <c r="P55" s="9">
        <f>IFERROR(IF(tblInputSheet[[#This Row],[Logic (ms)]] = "", "", tblInputSheet[[#This Row],[Logic (ms)]]), "")</f>
        <v>30</v>
      </c>
      <c r="Q55" s="9">
        <f>IFERROR(IF(tblInputSheet[[#This Row],[Rules (ms)]] = "", "", tblInputSheet[[#This Row],[Rules (ms)]]), "")</f>
        <v>0</v>
      </c>
      <c r="R55" s="9">
        <f>IFERROR(IF(tblInputSheet[[#This Row],[Latency (ms)]] = "", "", tblInputSheet[[#This Row],[Latency (ms)]]), "")</f>
        <v>10</v>
      </c>
      <c r="S55" s="9">
        <f>IFERROR(SUM(tblDisplaySheet[[#This Row],[DB Calls (ms)]:[Latency (ms)]]), "")</f>
        <v>45</v>
      </c>
      <c r="T55" s="9">
        <f>IFERROR(tblDisplaySheet[[#This Row],[Time of Function / Call]]*tblDisplaySheet[[#This Row],[Count of Invocations]], "")</f>
        <v>45</v>
      </c>
      <c r="U55" s="9">
        <v>45</v>
      </c>
      <c r="V55" s="9">
        <f>IFERROR(IF(tblInputSheet[[#This Row],[Process NFR]] = "", "", tblInputSheet[[#This Row],[Process NFR]]), "")</f>
        <v>50</v>
      </c>
      <c r="W55" s="9">
        <f>tblDisplaySheet[[#This Row],[Process NFR]]*tblDisplaySheet[[#This Row],[Count of Invocations]]</f>
        <v>50</v>
      </c>
      <c r="X55" s="9">
        <v>50</v>
      </c>
      <c r="Y55" s="9">
        <f>tblDisplaySheet[[#This Row],[Total Process Path Length NFR]]-tblDisplaySheet[[#This Row],[Total Process Path Length]]</f>
        <v>5</v>
      </c>
      <c r="Z55" s="9" t="str">
        <f>IF(tblDisplaySheet[[#This Row],[Difference]]&gt;=0, "On Target", "Off Target")</f>
        <v>On Target</v>
      </c>
      <c r="AA55" s="8" t="str">
        <f>IFERROR(IF(tblInputSheet[[#This Row],[Is Leaf ?]] = "-", "", tblInputSheet[[#This Row],[Is Leaf ?]]), "")</f>
        <v>Y</v>
      </c>
      <c r="AB55" s="8" t="str">
        <f>IFERROR(IF(tblInputSheet[[#This Row],[Owner]] = "", "", tblInputSheet[[#This Row],[Owner]]), "")</f>
        <v>Greg</v>
      </c>
      <c r="AC55" s="8" t="s">
        <v>20</v>
      </c>
      <c r="AD55" s="9" t="s">
        <v>20</v>
      </c>
    </row>
    <row r="56" spans="1:30" x14ac:dyDescent="0.25">
      <c r="A56" s="9">
        <f>IFERROR(IF(tblInputSheet[[#This Row],[Link]] = "", "", tblInputSheet[[#This Row],[Link]]), "")</f>
        <v>50</v>
      </c>
      <c r="B56" s="9">
        <f>IFERROR(IF(tblInputSheet[[#This Row],[Level]] = "", "", tblInputSheet[[#This Row],[Level]]), "")</f>
        <v>9</v>
      </c>
      <c r="C56" s="9">
        <f>IFERROR(IF(tblInputSheet[[#This Row],[Sl.No]] = "", "", tblInputSheet[[#This Row],[Sl.No]]), "")</f>
        <v>54</v>
      </c>
      <c r="D56" s="9" t="str">
        <f>IFERROR(IF(tblInputSheet[[#This Row],[Group]] = "", "", tblInputSheet[[#This Row],[Group]]), "")</f>
        <v>Service Level - Pricing Engine</v>
      </c>
      <c r="E56" s="9" t="str">
        <f>IFERROR(IF(tblInputSheet[[#This Row],[Process]] = "", "", REPT("*",Display!$B56)&amp;""&amp;tblInputSheet[[#This Row],[Process]]), "")</f>
        <v>*********Claim Pricer Service</v>
      </c>
      <c r="F56" s="9" t="str">
        <f>IFERROR(IF(tblInputSheet[[#This Row],[Hosted Platform]] = "", "", tblInputSheet[[#This Row],[Hosted Platform]]), "")</f>
        <v>PCF</v>
      </c>
      <c r="G56" s="9" t="str">
        <f>IFERROR(IF(tblInputSheet[[#This Row],[Provider]] = "-", "", tblInputSheet[[#This Row],[Provider]]), "")</f>
        <v>Key-Claims Adjudication</v>
      </c>
      <c r="H56" s="9" t="str">
        <f>IFERROR(IF(tblInputSheet[[#This Row],[Consumer]] = "-", "", tblInputSheet[[#This Row],[Consumer]]), "")</f>
        <v>Key-Claims Adjudication</v>
      </c>
      <c r="I56" s="9" t="str">
        <f>IFERROR(IF(tblInputSheet[[#This Row],[Integration Pattern]] = "-", "", tblInputSheet[[#This Row],[Integration Pattern]]), "")</f>
        <v>PCF Internal (C-to-C)</v>
      </c>
      <c r="J56" s="9" t="str">
        <f>IFERROR(IF(tblInputSheet[[#This Row],[Current State]] = "-", "", tblInputSheet[[#This Row],[Current State]]), "")</f>
        <v>Y</v>
      </c>
      <c r="K56" s="9" t="str">
        <f>IFERROR(IF(tblInputSheet[[#This Row],[End State]] = "-", "", tblInputSheet[[#This Row],[End State]]), "")</f>
        <v>Y</v>
      </c>
      <c r="L56" s="9" t="str">
        <f>IFERROR(IF(tblInputSheet[[#This Row],[MVP]] = "-", "", tblInputSheet[[#This Row],[MVP]]), "")</f>
        <v>Y</v>
      </c>
      <c r="M56" s="9" t="str">
        <f>IFERROR(IF(tblInputSheet[[#This Row],[Confidence Factor]] = "-", "", VLOOKUP(tblInputSheet[[#This Row],[Confidence Factor]], tblConfidenceFactor[], 3,FALSE)), "")</f>
        <v>Medium</v>
      </c>
      <c r="N56" s="9">
        <f>IFERROR(IF(tblInputSheet[[#This Row],[Count of Invocations]] = "", "", tblInputSheet[[#This Row],[Count of Invocations]]), "")</f>
        <v>1</v>
      </c>
      <c r="O56" s="9">
        <f>IFERROR(IF(tblInputSheet[[#This Row],[DB Calls (ms)]] = "", "", tblInputSheet[[#This Row],[DB Calls (ms)]]), "")</f>
        <v>1</v>
      </c>
      <c r="P56" s="9">
        <f>IFERROR(IF(tblInputSheet[[#This Row],[Logic (ms)]] = "", "", tblInputSheet[[#This Row],[Logic (ms)]]), "")</f>
        <v>10</v>
      </c>
      <c r="Q56" s="9">
        <f>IFERROR(IF(tblInputSheet[[#This Row],[Rules (ms)]] = "", "", tblInputSheet[[#This Row],[Rules (ms)]]), "")</f>
        <v>0</v>
      </c>
      <c r="R56" s="9">
        <f>IFERROR(IF(tblInputSheet[[#This Row],[Latency (ms)]] = "", "", tblInputSheet[[#This Row],[Latency (ms)]]), "")</f>
        <v>15</v>
      </c>
      <c r="S56" s="9">
        <f>IFERROR(SUM(tblDisplaySheet[[#This Row],[DB Calls (ms)]:[Latency (ms)]]), "")</f>
        <v>26</v>
      </c>
      <c r="T56" s="9">
        <f>IFERROR(tblDisplaySheet[[#This Row],[Time of Function / Call]]*tblDisplaySheet[[#This Row],[Count of Invocations]], "")</f>
        <v>26</v>
      </c>
      <c r="U56" s="9">
        <v>61</v>
      </c>
      <c r="V56" s="9">
        <f>IFERROR(IF(tblInputSheet[[#This Row],[Process NFR]] = "", "", tblInputSheet[[#This Row],[Process NFR]]), "")</f>
        <v>50</v>
      </c>
      <c r="W56" s="9">
        <f>tblDisplaySheet[[#This Row],[Process NFR]]*tblDisplaySheet[[#This Row],[Count of Invocations]]</f>
        <v>50</v>
      </c>
      <c r="X56" s="9">
        <v>100</v>
      </c>
      <c r="Y56" s="9">
        <f>tblDisplaySheet[[#This Row],[Total Process Path Length NFR]]-tblDisplaySheet[[#This Row],[Total Process Path Length]]</f>
        <v>39</v>
      </c>
      <c r="Z56" s="9" t="str">
        <f>IF(tblDisplaySheet[[#This Row],[Difference]]&gt;=0, "On Target", "Off Target")</f>
        <v>On Target</v>
      </c>
      <c r="AA56" s="8" t="str">
        <f>IFERROR(IF(tblInputSheet[[#This Row],[Is Leaf ?]] = "-", "", tblInputSheet[[#This Row],[Is Leaf ?]]), "")</f>
        <v>N</v>
      </c>
      <c r="AB56" s="8" t="str">
        <f>IFERROR(IF(tblInputSheet[[#This Row],[Owner]] = "", "", tblInputSheet[[#This Row],[Owner]]), "")</f>
        <v>Alak</v>
      </c>
      <c r="AC56" s="8" t="s">
        <v>20</v>
      </c>
      <c r="AD56" s="9" t="s">
        <v>20</v>
      </c>
    </row>
    <row r="57" spans="1:30" x14ac:dyDescent="0.25">
      <c r="A57" s="9">
        <f>IFERROR(IF(tblInputSheet[[#This Row],[Link]] = "", "", tblInputSheet[[#This Row],[Link]]), "")</f>
        <v>54</v>
      </c>
      <c r="B57" s="9">
        <f>IFERROR(IF(tblInputSheet[[#This Row],[Level]] = "", "", tblInputSheet[[#This Row],[Level]]), "")</f>
        <v>10</v>
      </c>
      <c r="C57" s="9">
        <f>IFERROR(IF(tblInputSheet[[#This Row],[Sl.No]] = "", "", tblInputSheet[[#This Row],[Sl.No]]), "")</f>
        <v>55</v>
      </c>
      <c r="D57" s="9" t="str">
        <f>IFERROR(IF(tblInputSheet[[#This Row],[Group]] = "", "", tblInputSheet[[#This Row],[Group]]), "")</f>
        <v>Service Level - Pricing Engine</v>
      </c>
      <c r="E57" s="9" t="str">
        <f>IFERROR(IF(tblInputSheet[[#This Row],[Process]] = "", "", REPT("*",Display!$B57)&amp;""&amp;tblInputSheet[[#This Row],[Process]]), "")</f>
        <v>**********Primier Pricer API</v>
      </c>
      <c r="F57" s="9" t="str">
        <f>IFERROR(IF(tblInputSheet[[#This Row],[Hosted Platform]] = "", "", tblInputSheet[[#This Row],[Hosted Platform]]), "")</f>
        <v>PCF</v>
      </c>
      <c r="G57" s="9" t="str">
        <f>IFERROR(IF(tblInputSheet[[#This Row],[Provider]] = "-", "", tblInputSheet[[#This Row],[Provider]]), "")</f>
        <v>Provider</v>
      </c>
      <c r="H57" s="9" t="str">
        <f>IFERROR(IF(tblInputSheet[[#This Row],[Consumer]] = "-", "", tblInputSheet[[#This Row],[Consumer]]), "")</f>
        <v>Key-Claims Adjudication</v>
      </c>
      <c r="I57" s="9" t="str">
        <f>IFERROR(IF(tblInputSheet[[#This Row],[Integration Pattern]] = "-", "", tblInputSheet[[#This Row],[Integration Pattern]]), "")</f>
        <v>REST Service - API</v>
      </c>
      <c r="J57" s="9" t="str">
        <f>IFERROR(IF(tblInputSheet[[#This Row],[Current State]] = "-", "", tblInputSheet[[#This Row],[Current State]]), "")</f>
        <v>Y</v>
      </c>
      <c r="K57" s="9" t="str">
        <f>IFERROR(IF(tblInputSheet[[#This Row],[End State]] = "-", "", tblInputSheet[[#This Row],[End State]]), "")</f>
        <v>Y</v>
      </c>
      <c r="L57" s="9" t="str">
        <f>IFERROR(IF(tblInputSheet[[#This Row],[MVP]] = "-", "", tblInputSheet[[#This Row],[MVP]]), "")</f>
        <v>Y</v>
      </c>
      <c r="M57" s="9" t="str">
        <f>IFERROR(IF(tblInputSheet[[#This Row],[Confidence Factor]] = "-", "", VLOOKUP(tblInputSheet[[#This Row],[Confidence Factor]], tblConfidenceFactor[], 3,FALSE)), "")</f>
        <v>Medium</v>
      </c>
      <c r="N57" s="9">
        <f>IFERROR(IF(tblInputSheet[[#This Row],[Count of Invocations]] = "", "", tblInputSheet[[#This Row],[Count of Invocations]]), "")</f>
        <v>1</v>
      </c>
      <c r="O57" s="9">
        <f>IFERROR(IF(tblInputSheet[[#This Row],[DB Calls (ms)]] = "", "", tblInputSheet[[#This Row],[DB Calls (ms)]]), "")</f>
        <v>0</v>
      </c>
      <c r="P57" s="9">
        <f>IFERROR(IF(tblInputSheet[[#This Row],[Logic (ms)]] = "", "", tblInputSheet[[#This Row],[Logic (ms)]]), "")</f>
        <v>20</v>
      </c>
      <c r="Q57" s="9">
        <f>IFERROR(IF(tblInputSheet[[#This Row],[Rules (ms)]] = "", "", tblInputSheet[[#This Row],[Rules (ms)]]), "")</f>
        <v>0</v>
      </c>
      <c r="R57" s="9">
        <f>IFERROR(IF(tblInputSheet[[#This Row],[Latency (ms)]] = "", "", tblInputSheet[[#This Row],[Latency (ms)]]), "")</f>
        <v>15</v>
      </c>
      <c r="S57" s="9">
        <f>IFERROR(SUM(tblDisplaySheet[[#This Row],[DB Calls (ms)]:[Latency (ms)]]), "")</f>
        <v>35</v>
      </c>
      <c r="T57" s="9">
        <f>IFERROR(tblDisplaySheet[[#This Row],[Time of Function / Call]]*tblDisplaySheet[[#This Row],[Count of Invocations]], "")</f>
        <v>35</v>
      </c>
      <c r="U57" s="9">
        <v>35</v>
      </c>
      <c r="V57" s="9">
        <f>IFERROR(IF(tblInputSheet[[#This Row],[Process NFR]] = "", "", tblInputSheet[[#This Row],[Process NFR]]), "")</f>
        <v>50</v>
      </c>
      <c r="W57" s="9">
        <f>tblDisplaySheet[[#This Row],[Process NFR]]*tblDisplaySheet[[#This Row],[Count of Invocations]]</f>
        <v>50</v>
      </c>
      <c r="X57" s="9">
        <v>50</v>
      </c>
      <c r="Y57" s="9">
        <f>tblDisplaySheet[[#This Row],[Total Process Path Length NFR]]-tblDisplaySheet[[#This Row],[Total Process Path Length]]</f>
        <v>15</v>
      </c>
      <c r="Z57" s="9" t="str">
        <f>IF(tblDisplaySheet[[#This Row],[Difference]]&gt;=0, "On Target", "Off Target")</f>
        <v>On Target</v>
      </c>
      <c r="AA57" s="8" t="str">
        <f>IFERROR(IF(tblInputSheet[[#This Row],[Is Leaf ?]] = "-", "", tblInputSheet[[#This Row],[Is Leaf ?]]), "")</f>
        <v>Y</v>
      </c>
      <c r="AB57" s="8" t="str">
        <f>IFERROR(IF(tblInputSheet[[#This Row],[Owner]] = "", "", tblInputSheet[[#This Row],[Owner]]), "")</f>
        <v>Alak</v>
      </c>
      <c r="AC57" s="8" t="s">
        <v>20</v>
      </c>
      <c r="AD57" s="9" t="s">
        <v>20</v>
      </c>
    </row>
    <row r="58" spans="1:30" x14ac:dyDescent="0.25">
      <c r="A58" s="9">
        <f>IFERROR(IF(tblInputSheet[[#This Row],[Link]] = "", "", tblInputSheet[[#This Row],[Link]]), "")</f>
        <v>50</v>
      </c>
      <c r="B58" s="9">
        <f>IFERROR(IF(tblInputSheet[[#This Row],[Level]] = "", "", tblInputSheet[[#This Row],[Level]]), "")</f>
        <v>9</v>
      </c>
      <c r="C58" s="9">
        <f>IFERROR(IF(tblInputSheet[[#This Row],[Sl.No]] = "", "", tblInputSheet[[#This Row],[Sl.No]]), "")</f>
        <v>56</v>
      </c>
      <c r="D58" s="9" t="str">
        <f>IFERROR(IF(tblInputSheet[[#This Row],[Group]] = "", "", tblInputSheet[[#This Row],[Group]]), "")</f>
        <v>Service Level - Pricing Engine</v>
      </c>
      <c r="E58" s="9" t="str">
        <f>IFERROR(IF(tblInputSheet[[#This Row],[Process]] = "", "", REPT("*",Display!$B58)&amp;""&amp;tblInputSheet[[#This Row],[Process]]), "")</f>
        <v>*********ClaimsXten Microservice</v>
      </c>
      <c r="F58" s="9" t="str">
        <f>IFERROR(IF(tblInputSheet[[#This Row],[Hosted Platform]] = "", "", tblInputSheet[[#This Row],[Hosted Platform]]), "")</f>
        <v>PCF</v>
      </c>
      <c r="G58" s="9" t="str">
        <f>IFERROR(IF(tblInputSheet[[#This Row],[Provider]] = "-", "", tblInputSheet[[#This Row],[Provider]]), "")</f>
        <v>Key-Claims Adjudication</v>
      </c>
      <c r="H58" s="9" t="str">
        <f>IFERROR(IF(tblInputSheet[[#This Row],[Consumer]] = "-", "", tblInputSheet[[#This Row],[Consumer]]), "")</f>
        <v>Key-Claims Adjudication</v>
      </c>
      <c r="I58" s="9" t="str">
        <f>IFERROR(IF(tblInputSheet[[#This Row],[Integration Pattern]] = "-", "", tblInputSheet[[#This Row],[Integration Pattern]]), "")</f>
        <v>PCF Internal (C-to-C)</v>
      </c>
      <c r="J58" s="9" t="str">
        <f>IFERROR(IF(tblInputSheet[[#This Row],[Current State]] = "-", "", tblInputSheet[[#This Row],[Current State]]), "")</f>
        <v>Y</v>
      </c>
      <c r="K58" s="9" t="str">
        <f>IFERROR(IF(tblInputSheet[[#This Row],[End State]] = "-", "", tblInputSheet[[#This Row],[End State]]), "")</f>
        <v>Y</v>
      </c>
      <c r="L58" s="9" t="str">
        <f>IFERROR(IF(tblInputSheet[[#This Row],[MVP]] = "-", "", tblInputSheet[[#This Row],[MVP]]), "")</f>
        <v>Y</v>
      </c>
      <c r="M58" s="9" t="str">
        <f>IFERROR(IF(tblInputSheet[[#This Row],[Confidence Factor]] = "-", "", VLOOKUP(tblInputSheet[[#This Row],[Confidence Factor]], tblConfidenceFactor[], 3,FALSE)), "")</f>
        <v>Medium</v>
      </c>
      <c r="N58" s="9">
        <f>IFERROR(IF(tblInputSheet[[#This Row],[Count of Invocations]] = "", "", tblInputSheet[[#This Row],[Count of Invocations]]), "")</f>
        <v>1</v>
      </c>
      <c r="O58" s="9">
        <f>IFERROR(IF(tblInputSheet[[#This Row],[DB Calls (ms)]] = "", "", tblInputSheet[[#This Row],[DB Calls (ms)]]), "")</f>
        <v>0</v>
      </c>
      <c r="P58" s="9">
        <f>IFERROR(IF(tblInputSheet[[#This Row],[Logic (ms)]] = "", "", tblInputSheet[[#This Row],[Logic (ms)]]), "")</f>
        <v>20</v>
      </c>
      <c r="Q58" s="9">
        <f>IFERROR(IF(tblInputSheet[[#This Row],[Rules (ms)]] = "", "", tblInputSheet[[#This Row],[Rules (ms)]]), "")</f>
        <v>0</v>
      </c>
      <c r="R58" s="9">
        <f>IFERROR(IF(tblInputSheet[[#This Row],[Latency (ms)]] = "", "", tblInputSheet[[#This Row],[Latency (ms)]]), "")</f>
        <v>15</v>
      </c>
      <c r="S58" s="9">
        <f>IFERROR(SUM(tblDisplaySheet[[#This Row],[DB Calls (ms)]:[Latency (ms)]]), "")</f>
        <v>35</v>
      </c>
      <c r="T58" s="9">
        <f>IFERROR(tblDisplaySheet[[#This Row],[Time of Function / Call]]*tblDisplaySheet[[#This Row],[Count of Invocations]], "")</f>
        <v>35</v>
      </c>
      <c r="U58" s="9">
        <v>1170</v>
      </c>
      <c r="V58" s="9">
        <f>IFERROR(IF(tblInputSheet[[#This Row],[Process NFR]] = "", "", tblInputSheet[[#This Row],[Process NFR]]), "")</f>
        <v>50</v>
      </c>
      <c r="W58" s="9">
        <f>tblDisplaySheet[[#This Row],[Process NFR]]*tblDisplaySheet[[#This Row],[Count of Invocations]]</f>
        <v>50</v>
      </c>
      <c r="X58" s="9">
        <v>1185</v>
      </c>
      <c r="Y58" s="9">
        <f>tblDisplaySheet[[#This Row],[Total Process Path Length NFR]]-tblDisplaySheet[[#This Row],[Total Process Path Length]]</f>
        <v>15</v>
      </c>
      <c r="Z58" s="9" t="str">
        <f>IF(tblDisplaySheet[[#This Row],[Difference]]&gt;=0, "On Target", "Off Target")</f>
        <v>On Target</v>
      </c>
      <c r="AA58" s="8" t="str">
        <f>IFERROR(IF(tblInputSheet[[#This Row],[Is Leaf ?]] = "-", "", tblInputSheet[[#This Row],[Is Leaf ?]]), "")</f>
        <v>N</v>
      </c>
      <c r="AB58" s="8" t="str">
        <f>IFERROR(IF(tblInputSheet[[#This Row],[Owner]] = "", "", tblInputSheet[[#This Row],[Owner]]), "")</f>
        <v>Alak</v>
      </c>
      <c r="AC58" s="8" t="s">
        <v>73</v>
      </c>
      <c r="AD58" s="9" t="s">
        <v>20</v>
      </c>
    </row>
    <row r="59" spans="1:30" x14ac:dyDescent="0.25">
      <c r="A59" s="9">
        <f>IFERROR(IF(tblInputSheet[[#This Row],[Link]] = "", "", tblInputSheet[[#This Row],[Link]]), "")</f>
        <v>56</v>
      </c>
      <c r="B59" s="9">
        <f>IFERROR(IF(tblInputSheet[[#This Row],[Level]] = "", "", tblInputSheet[[#This Row],[Level]]), "")</f>
        <v>10</v>
      </c>
      <c r="C59" s="9">
        <f>IFERROR(IF(tblInputSheet[[#This Row],[Sl.No]] = "", "", tblInputSheet[[#This Row],[Sl.No]]), "")</f>
        <v>57</v>
      </c>
      <c r="D59" s="9" t="str">
        <f>IFERROR(IF(tblInputSheet[[#This Row],[Group]] = "", "", tblInputSheet[[#This Row],[Group]]), "")</f>
        <v>Service Level - Pricing Engine</v>
      </c>
      <c r="E59" s="9" t="str">
        <f>IFERROR(IF(tblInputSheet[[#This Row],[Process]] = "", "", REPT("*",Display!$B59)&amp;""&amp;tblInputSheet[[#This Row],[Process]]), "")</f>
        <v>**********Claims Xten Mule Adapter</v>
      </c>
      <c r="F59" s="9" t="str">
        <f>IFERROR(IF(tblInputSheet[[#This Row],[Hosted Platform]] = "", "", tblInputSheet[[#This Row],[Hosted Platform]]), "")</f>
        <v>Mule ESB</v>
      </c>
      <c r="G59" s="9" t="str">
        <f>IFERROR(IF(tblInputSheet[[#This Row],[Provider]] = "-", "", tblInputSheet[[#This Row],[Provider]]), "")</f>
        <v>Key-Claims Adjudication</v>
      </c>
      <c r="H59" s="9" t="str">
        <f>IFERROR(IF(tblInputSheet[[#This Row],[Consumer]] = "-", "", tblInputSheet[[#This Row],[Consumer]]), "")</f>
        <v>Claims-Legacy</v>
      </c>
      <c r="I59" s="9" t="str">
        <f>IFERROR(IF(tblInputSheet[[#This Row],[Integration Pattern]] = "-", "", tblInputSheet[[#This Row],[Integration Pattern]]), "")</f>
        <v>ESB - CTG Integration</v>
      </c>
      <c r="J59" s="9" t="str">
        <f>IFERROR(IF(tblInputSheet[[#This Row],[Current State]] = "-", "", tblInputSheet[[#This Row],[Current State]]), "")</f>
        <v>Y</v>
      </c>
      <c r="K59" s="9" t="str">
        <f>IFERROR(IF(tblInputSheet[[#This Row],[End State]] = "-", "", tblInputSheet[[#This Row],[End State]]), "")</f>
        <v>N</v>
      </c>
      <c r="L59" s="9" t="str">
        <f>IFERROR(IF(tblInputSheet[[#This Row],[MVP]] = "-", "", tblInputSheet[[#This Row],[MVP]]), "")</f>
        <v>Y</v>
      </c>
      <c r="M59" s="9" t="str">
        <f>IFERROR(IF(tblInputSheet[[#This Row],[Confidence Factor]] = "-", "", VLOOKUP(tblInputSheet[[#This Row],[Confidence Factor]], tblConfidenceFactor[], 3,FALSE)), "")</f>
        <v>Low</v>
      </c>
      <c r="N59" s="9">
        <f>IFERROR(IF(tblInputSheet[[#This Row],[Count of Invocations]] = "", "", tblInputSheet[[#This Row],[Count of Invocations]]), "")</f>
        <v>1</v>
      </c>
      <c r="O59" s="9">
        <f>IFERROR(IF(tblInputSheet[[#This Row],[DB Calls (ms)]] = "", "", tblInputSheet[[#This Row],[DB Calls (ms)]]), "")</f>
        <v>0</v>
      </c>
      <c r="P59" s="9">
        <f>IFERROR(IF(tblInputSheet[[#This Row],[Logic (ms)]] = "", "", tblInputSheet[[#This Row],[Logic (ms)]]), "")</f>
        <v>60</v>
      </c>
      <c r="Q59" s="9">
        <f>IFERROR(IF(tblInputSheet[[#This Row],[Rules (ms)]] = "", "", tblInputSheet[[#This Row],[Rules (ms)]]), "")</f>
        <v>0</v>
      </c>
      <c r="R59" s="9">
        <f>IFERROR(IF(tblInputSheet[[#This Row],[Latency (ms)]] = "", "", tblInputSheet[[#This Row],[Latency (ms)]]), "")</f>
        <v>45</v>
      </c>
      <c r="S59" s="9">
        <f>IFERROR(SUM(tblDisplaySheet[[#This Row],[DB Calls (ms)]:[Latency (ms)]]), "")</f>
        <v>105</v>
      </c>
      <c r="T59" s="9">
        <f>IFERROR(tblDisplaySheet[[#This Row],[Time of Function / Call]]*tblDisplaySheet[[#This Row],[Count of Invocations]], "")</f>
        <v>105</v>
      </c>
      <c r="U59" s="9">
        <v>1135</v>
      </c>
      <c r="V59" s="9">
        <f>IFERROR(IF(tblInputSheet[[#This Row],[Process NFR]] = "", "", tblInputSheet[[#This Row],[Process NFR]]), "")</f>
        <v>105</v>
      </c>
      <c r="W59" s="9">
        <f>tblDisplaySheet[[#This Row],[Process NFR]]*tblDisplaySheet[[#This Row],[Count of Invocations]]</f>
        <v>105</v>
      </c>
      <c r="X59" s="9">
        <v>1135</v>
      </c>
      <c r="Y59" s="9">
        <f>tblDisplaySheet[[#This Row],[Total Process Path Length NFR]]-tblDisplaySheet[[#This Row],[Total Process Path Length]]</f>
        <v>0</v>
      </c>
      <c r="Z59" s="9" t="str">
        <f>IF(tblDisplaySheet[[#This Row],[Difference]]&gt;=0, "On Target", "Off Target")</f>
        <v>On Target</v>
      </c>
      <c r="AA59" s="8" t="str">
        <f>IFERROR(IF(tblInputSheet[[#This Row],[Is Leaf ?]] = "-", "", tblInputSheet[[#This Row],[Is Leaf ?]]), "")</f>
        <v>N</v>
      </c>
      <c r="AB59" s="8" t="str">
        <f>IFERROR(IF(tblInputSheet[[#This Row],[Owner]] = "", "", tblInputSheet[[#This Row],[Owner]]), "")</f>
        <v>Alak</v>
      </c>
      <c r="AC59" s="8" t="s">
        <v>73</v>
      </c>
      <c r="AD59" s="9" t="s">
        <v>20</v>
      </c>
    </row>
    <row r="60" spans="1:30" x14ac:dyDescent="0.25">
      <c r="A60" s="9">
        <f>IFERROR(IF(tblInputSheet[[#This Row],[Link]] = "", "", tblInputSheet[[#This Row],[Link]]), "")</f>
        <v>57</v>
      </c>
      <c r="B60" s="9">
        <f>IFERROR(IF(tblInputSheet[[#This Row],[Level]] = "", "", tblInputSheet[[#This Row],[Level]]), "")</f>
        <v>11</v>
      </c>
      <c r="C60" s="9">
        <f>IFERROR(IF(tblInputSheet[[#This Row],[Sl.No]] = "", "", tblInputSheet[[#This Row],[Sl.No]]), "")</f>
        <v>58</v>
      </c>
      <c r="D60" s="9" t="str">
        <f>IFERROR(IF(tblInputSheet[[#This Row],[Group]] = "", "", tblInputSheet[[#This Row],[Group]]), "")</f>
        <v>Service Level - Pricing Engine</v>
      </c>
      <c r="E60" s="9" t="str">
        <f>IFERROR(IF(tblInputSheet[[#This Row],[Process]] = "", "", REPT("*",Display!$B60)&amp;""&amp;tblInputSheet[[#This Row],[Process]]), "")</f>
        <v>***********Invoker</v>
      </c>
      <c r="F60" s="9" t="str">
        <f>IFERROR(IF(tblInputSheet[[#This Row],[Hosted Platform]] = "", "", tblInputSheet[[#This Row],[Hosted Platform]]), "")</f>
        <v>Legacy BC</v>
      </c>
      <c r="G60" s="9" t="str">
        <f>IFERROR(IF(tblInputSheet[[#This Row],[Provider]] = "-", "", tblInputSheet[[#This Row],[Provider]]), "")</f>
        <v>Claims-Legacy</v>
      </c>
      <c r="H60" s="9" t="str">
        <f>IFERROR(IF(tblInputSheet[[#This Row],[Consumer]] = "-", "", tblInputSheet[[#This Row],[Consumer]]), "")</f>
        <v>Claims-Legacy</v>
      </c>
      <c r="I60" s="9" t="str">
        <f>IFERROR(IF(tblInputSheet[[#This Row],[Integration Pattern]] = "-", "", tblInputSheet[[#This Row],[Integration Pattern]]), "")</f>
        <v>BC Internal</v>
      </c>
      <c r="J60" s="9" t="str">
        <f>IFERROR(IF(tblInputSheet[[#This Row],[Current State]] = "-", "", tblInputSheet[[#This Row],[Current State]]), "")</f>
        <v>Y</v>
      </c>
      <c r="K60" s="9" t="str">
        <f>IFERROR(IF(tblInputSheet[[#This Row],[End State]] = "-", "", tblInputSheet[[#This Row],[End State]]), "")</f>
        <v>Y</v>
      </c>
      <c r="L60" s="9" t="str">
        <f>IFERROR(IF(tblInputSheet[[#This Row],[MVP]] = "-", "", tblInputSheet[[#This Row],[MVP]]), "")</f>
        <v>Y</v>
      </c>
      <c r="M60" s="9" t="str">
        <f>IFERROR(IF(tblInputSheet[[#This Row],[Confidence Factor]] = "-", "", VLOOKUP(tblInputSheet[[#This Row],[Confidence Factor]], tblConfidenceFactor[], 3,FALSE)), "")</f>
        <v>Medium</v>
      </c>
      <c r="N60" s="9">
        <f>IFERROR(IF(tblInputSheet[[#This Row],[Count of Invocations]] = "", "", tblInputSheet[[#This Row],[Count of Invocations]]), "")</f>
        <v>1</v>
      </c>
      <c r="O60" s="9">
        <f>IFERROR(IF(tblInputSheet[[#This Row],[DB Calls (ms)]] = "", "", tblInputSheet[[#This Row],[DB Calls (ms)]]), "")</f>
        <v>0</v>
      </c>
      <c r="P60" s="9">
        <f>IFERROR(IF(tblInputSheet[[#This Row],[Logic (ms)]] = "", "", tblInputSheet[[#This Row],[Logic (ms)]]), "")</f>
        <v>1</v>
      </c>
      <c r="Q60" s="9">
        <f>IFERROR(IF(tblInputSheet[[#This Row],[Rules (ms)]] = "", "", tblInputSheet[[#This Row],[Rules (ms)]]), "")</f>
        <v>0</v>
      </c>
      <c r="R60" s="9">
        <f>IFERROR(IF(tblInputSheet[[#This Row],[Latency (ms)]] = "", "", tblInputSheet[[#This Row],[Latency (ms)]]), "")</f>
        <v>0</v>
      </c>
      <c r="S60" s="9">
        <f>IFERROR(SUM(tblDisplaySheet[[#This Row],[DB Calls (ms)]:[Latency (ms)]]), "")</f>
        <v>1</v>
      </c>
      <c r="T60" s="9">
        <f>IFERROR(tblDisplaySheet[[#This Row],[Time of Function / Call]]*tblDisplaySheet[[#This Row],[Count of Invocations]], "")</f>
        <v>1</v>
      </c>
      <c r="U60" s="9">
        <v>1030</v>
      </c>
      <c r="V60" s="9">
        <f>IFERROR(IF(tblInputSheet[[#This Row],[Process NFR]] = "", "", tblInputSheet[[#This Row],[Process NFR]]), "")</f>
        <v>1</v>
      </c>
      <c r="W60" s="9">
        <f>tblDisplaySheet[[#This Row],[Process NFR]]*tblDisplaySheet[[#This Row],[Count of Invocations]]</f>
        <v>1</v>
      </c>
      <c r="X60" s="9">
        <v>1030</v>
      </c>
      <c r="Y60" s="9">
        <f>tblDisplaySheet[[#This Row],[Total Process Path Length NFR]]-tblDisplaySheet[[#This Row],[Total Process Path Length]]</f>
        <v>0</v>
      </c>
      <c r="Z60" s="9" t="str">
        <f>IF(tblDisplaySheet[[#This Row],[Difference]]&gt;=0, "On Target", "Off Target")</f>
        <v>On Target</v>
      </c>
      <c r="AA60" s="8" t="str">
        <f>IFERROR(IF(tblInputSheet[[#This Row],[Is Leaf ?]] = "-", "", tblInputSheet[[#This Row],[Is Leaf ?]]), "")</f>
        <v>N</v>
      </c>
      <c r="AB60" s="8" t="str">
        <f>IFERROR(IF(tblInputSheet[[#This Row],[Owner]] = "", "", tblInputSheet[[#This Row],[Owner]]), "")</f>
        <v>Alak</v>
      </c>
      <c r="AC60" s="8" t="s">
        <v>20</v>
      </c>
      <c r="AD60" s="9" t="s">
        <v>20</v>
      </c>
    </row>
    <row r="61" spans="1:30" x14ac:dyDescent="0.25">
      <c r="A61" s="9">
        <f>IFERROR(IF(tblInputSheet[[#This Row],[Link]] = "", "", tblInputSheet[[#This Row],[Link]]), "")</f>
        <v>58</v>
      </c>
      <c r="B61" s="9">
        <f>IFERROR(IF(tblInputSheet[[#This Row],[Level]] = "", "", tblInputSheet[[#This Row],[Level]]), "")</f>
        <v>12</v>
      </c>
      <c r="C61" s="9">
        <f>IFERROR(IF(tblInputSheet[[#This Row],[Sl.No]] = "", "", tblInputSheet[[#This Row],[Sl.No]]), "")</f>
        <v>59</v>
      </c>
      <c r="D61" s="9" t="str">
        <f>IFERROR(IF(tblInputSheet[[#This Row],[Group]] = "", "", tblInputSheet[[#This Row],[Group]]), "")</f>
        <v>Service Level - Pricing Engine</v>
      </c>
      <c r="E61" s="9" t="str">
        <f>IFERROR(IF(tblInputSheet[[#This Row],[Process]] = "", "", REPT("*",Display!$B61)&amp;""&amp;tblInputSheet[[#This Row],[Process]]), "")</f>
        <v>************Legacy Claims Xten</v>
      </c>
      <c r="F61" s="9" t="str">
        <f>IFERROR(IF(tblInputSheet[[#This Row],[Hosted Platform]] = "", "", tblInputSheet[[#This Row],[Hosted Platform]]), "")</f>
        <v>Legacy BC</v>
      </c>
      <c r="G61" s="9" t="str">
        <f>IFERROR(IF(tblInputSheet[[#This Row],[Provider]] = "-", "", tblInputSheet[[#This Row],[Provider]]), "")</f>
        <v>Claims-Legacy</v>
      </c>
      <c r="H61" s="9" t="str">
        <f>IFERROR(IF(tblInputSheet[[#This Row],[Consumer]] = "-", "", tblInputSheet[[#This Row],[Consumer]]), "")</f>
        <v>Claims-Legacy</v>
      </c>
      <c r="I61" s="9" t="str">
        <f>IFERROR(IF(tblInputSheet[[#This Row],[Integration Pattern]] = "-", "", tblInputSheet[[#This Row],[Integration Pattern]]), "")</f>
        <v>BC Internal</v>
      </c>
      <c r="J61" s="9" t="str">
        <f>IFERROR(IF(tblInputSheet[[#This Row],[Current State]] = "-", "", tblInputSheet[[#This Row],[Current State]]), "")</f>
        <v>Y</v>
      </c>
      <c r="K61" s="9" t="str">
        <f>IFERROR(IF(tblInputSheet[[#This Row],[End State]] = "-", "", tblInputSheet[[#This Row],[End State]]), "")</f>
        <v>Y</v>
      </c>
      <c r="L61" s="9" t="str">
        <f>IFERROR(IF(tblInputSheet[[#This Row],[MVP]] = "-", "", tblInputSheet[[#This Row],[MVP]]), "")</f>
        <v>Y</v>
      </c>
      <c r="M61" s="9" t="str">
        <f>IFERROR(IF(tblInputSheet[[#This Row],[Confidence Factor]] = "-", "", VLOOKUP(tblInputSheet[[#This Row],[Confidence Factor]], tblConfidenceFactor[], 3,FALSE)), "")</f>
        <v>Low</v>
      </c>
      <c r="N61" s="9">
        <f>IFERROR(IF(tblInputSheet[[#This Row],[Count of Invocations]] = "", "", tblInputSheet[[#This Row],[Count of Invocations]]), "")</f>
        <v>1</v>
      </c>
      <c r="O61" s="9">
        <f>IFERROR(IF(tblInputSheet[[#This Row],[DB Calls (ms)]] = "", "", tblInputSheet[[#This Row],[DB Calls (ms)]]), "")</f>
        <v>0</v>
      </c>
      <c r="P61" s="9">
        <f>IFERROR(IF(tblInputSheet[[#This Row],[Logic (ms)]] = "", "", tblInputSheet[[#This Row],[Logic (ms)]]), "")</f>
        <v>1029</v>
      </c>
      <c r="Q61" s="9">
        <f>IFERROR(IF(tblInputSheet[[#This Row],[Rules (ms)]] = "", "", tblInputSheet[[#This Row],[Rules (ms)]]), "")</f>
        <v>0</v>
      </c>
      <c r="R61" s="9">
        <f>IFERROR(IF(tblInputSheet[[#This Row],[Latency (ms)]] = "", "", tblInputSheet[[#This Row],[Latency (ms)]]), "")</f>
        <v>0</v>
      </c>
      <c r="S61" s="9">
        <f>IFERROR(SUM(tblDisplaySheet[[#This Row],[DB Calls (ms)]:[Latency (ms)]]), "")</f>
        <v>1029</v>
      </c>
      <c r="T61" s="9">
        <f>IFERROR(tblDisplaySheet[[#This Row],[Time of Function / Call]]*tblDisplaySheet[[#This Row],[Count of Invocations]], "")</f>
        <v>1029</v>
      </c>
      <c r="U61" s="9">
        <v>1029</v>
      </c>
      <c r="V61" s="9">
        <f>IFERROR(IF(tblInputSheet[[#This Row],[Process NFR]] = "", "", tblInputSheet[[#This Row],[Process NFR]]), "")</f>
        <v>1029</v>
      </c>
      <c r="W61" s="9">
        <f>tblDisplaySheet[[#This Row],[Process NFR]]*tblDisplaySheet[[#This Row],[Count of Invocations]]</f>
        <v>1029</v>
      </c>
      <c r="X61" s="9">
        <v>1029</v>
      </c>
      <c r="Y61" s="9">
        <f>tblDisplaySheet[[#This Row],[Total Process Path Length NFR]]-tblDisplaySheet[[#This Row],[Total Process Path Length]]</f>
        <v>0</v>
      </c>
      <c r="Z61" s="9" t="str">
        <f>IF(tblDisplaySheet[[#This Row],[Difference]]&gt;=0, "On Target", "Off Target")</f>
        <v>On Target</v>
      </c>
      <c r="AA61" s="8" t="str">
        <f>IFERROR(IF(tblInputSheet[[#This Row],[Is Leaf ?]] = "-", "", tblInputSheet[[#This Row],[Is Leaf ?]]), "")</f>
        <v>Y</v>
      </c>
      <c r="AB61" s="8" t="str">
        <f>IFERROR(IF(tblInputSheet[[#This Row],[Owner]] = "", "", tblInputSheet[[#This Row],[Owner]]), "")</f>
        <v>Alak</v>
      </c>
      <c r="AC61" s="8" t="s">
        <v>20</v>
      </c>
      <c r="AD61" s="9" t="s">
        <v>20</v>
      </c>
    </row>
    <row r="62" spans="1:30" x14ac:dyDescent="0.25">
      <c r="A62" s="9">
        <f>IFERROR(IF(tblInputSheet[[#This Row],[Link]] = "", "", tblInputSheet[[#This Row],[Link]]), "")</f>
        <v>50</v>
      </c>
      <c r="B62" s="9">
        <f>IFERROR(IF(tblInputSheet[[#This Row],[Level]] = "", "", tblInputSheet[[#This Row],[Level]]), "")</f>
        <v>9</v>
      </c>
      <c r="C62" s="9">
        <f>IFERROR(IF(tblInputSheet[[#This Row],[Sl.No]] = "", "", tblInputSheet[[#This Row],[Sl.No]]), "")</f>
        <v>60</v>
      </c>
      <c r="D62" s="9" t="str">
        <f>IFERROR(IF(tblInputSheet[[#This Row],[Group]] = "", "", tblInputSheet[[#This Row],[Group]]), "")</f>
        <v>Service Level - Pricing Engine</v>
      </c>
      <c r="E62" s="9" t="str">
        <f>IFERROR(IF(tblInputSheet[[#This Row],[Process]] = "", "", REPT("*",Display!$B62)&amp;""&amp;tblInputSheet[[#This Row],[Process]]), "")</f>
        <v>*********UPF (National Modules) Mule Adapter</v>
      </c>
      <c r="F62" s="9" t="str">
        <f>IFERROR(IF(tblInputSheet[[#This Row],[Hosted Platform]] = "", "", tblInputSheet[[#This Row],[Hosted Platform]]), "")</f>
        <v>Mule ESB</v>
      </c>
      <c r="G62" s="9" t="str">
        <f>IFERROR(IF(tblInputSheet[[#This Row],[Provider]] = "-", "", tblInputSheet[[#This Row],[Provider]]), "")</f>
        <v>Key-Claims Adjudication</v>
      </c>
      <c r="H62" s="9" t="str">
        <f>IFERROR(IF(tblInputSheet[[#This Row],[Consumer]] = "-", "", tblInputSheet[[#This Row],[Consumer]]), "")</f>
        <v>Other</v>
      </c>
      <c r="I62" s="9" t="str">
        <f>IFERROR(IF(tblInputSheet[[#This Row],[Integration Pattern]] = "-", "", tblInputSheet[[#This Row],[Integration Pattern]]), "")</f>
        <v>ESB - CTG Integration</v>
      </c>
      <c r="J62" s="9" t="str">
        <f>IFERROR(IF(tblInputSheet[[#This Row],[Current State]] = "-", "", tblInputSheet[[#This Row],[Current State]]), "")</f>
        <v>Y</v>
      </c>
      <c r="K62" s="9" t="str">
        <f>IFERROR(IF(tblInputSheet[[#This Row],[End State]] = "-", "", tblInputSheet[[#This Row],[End State]]), "")</f>
        <v>N</v>
      </c>
      <c r="L62" s="9" t="str">
        <f>IFERROR(IF(tblInputSheet[[#This Row],[MVP]] = "-", "", tblInputSheet[[#This Row],[MVP]]), "")</f>
        <v>Y</v>
      </c>
      <c r="M62" s="9" t="str">
        <f>IFERROR(IF(tblInputSheet[[#This Row],[Confidence Factor]] = "-", "", VLOOKUP(tblInputSheet[[#This Row],[Confidence Factor]], tblConfidenceFactor[], 3,FALSE)), "")</f>
        <v>Low</v>
      </c>
      <c r="N62" s="9">
        <f>IFERROR(IF(tblInputSheet[[#This Row],[Count of Invocations]] = "", "", tblInputSheet[[#This Row],[Count of Invocations]]), "")</f>
        <v>1</v>
      </c>
      <c r="O62" s="9" t="str">
        <f>IFERROR(IF(tblInputSheet[[#This Row],[DB Calls (ms)]] = "", "", tblInputSheet[[#This Row],[DB Calls (ms)]]), "")</f>
        <v>`</v>
      </c>
      <c r="P62" s="9">
        <f>IFERROR(IF(tblInputSheet[[#This Row],[Logic (ms)]] = "", "", tblInputSheet[[#This Row],[Logic (ms)]]), "")</f>
        <v>65</v>
      </c>
      <c r="Q62" s="9">
        <f>IFERROR(IF(tblInputSheet[[#This Row],[Rules (ms)]] = "", "", tblInputSheet[[#This Row],[Rules (ms)]]), "")</f>
        <v>0</v>
      </c>
      <c r="R62" s="9">
        <f>IFERROR(IF(tblInputSheet[[#This Row],[Latency (ms)]] = "", "", tblInputSheet[[#This Row],[Latency (ms)]]), "")</f>
        <v>50</v>
      </c>
      <c r="S62" s="9">
        <f>IFERROR(SUM(tblDisplaySheet[[#This Row],[DB Calls (ms)]:[Latency (ms)]]), "")</f>
        <v>115</v>
      </c>
      <c r="T62" s="9">
        <f>IFERROR(tblDisplaySheet[[#This Row],[Time of Function / Call]]*tblDisplaySheet[[#This Row],[Count of Invocations]], "")</f>
        <v>115</v>
      </c>
      <c r="U62" s="9">
        <v>151</v>
      </c>
      <c r="V62" s="9">
        <f>IFERROR(IF(tblInputSheet[[#This Row],[Process NFR]] = "", "", tblInputSheet[[#This Row],[Process NFR]]), "")</f>
        <v>115</v>
      </c>
      <c r="W62" s="9">
        <f>tblDisplaySheet[[#This Row],[Process NFR]]*tblDisplaySheet[[#This Row],[Count of Invocations]]</f>
        <v>115</v>
      </c>
      <c r="X62" s="9">
        <v>166</v>
      </c>
      <c r="Y62" s="9">
        <f>tblDisplaySheet[[#This Row],[Total Process Path Length NFR]]-tblDisplaySheet[[#This Row],[Total Process Path Length]]</f>
        <v>15</v>
      </c>
      <c r="Z62" s="9" t="str">
        <f>IF(tblDisplaySheet[[#This Row],[Difference]]&gt;=0, "On Target", "Off Target")</f>
        <v>On Target</v>
      </c>
      <c r="AA62" s="8" t="str">
        <f>IFERROR(IF(tblInputSheet[[#This Row],[Is Leaf ?]] = "-", "", tblInputSheet[[#This Row],[Is Leaf ?]]), "")</f>
        <v>N</v>
      </c>
      <c r="AB62" s="8" t="str">
        <f>IFERROR(IF(tblInputSheet[[#This Row],[Owner]] = "", "", tblInputSheet[[#This Row],[Owner]]), "")</f>
        <v>Alak</v>
      </c>
      <c r="AC62" s="8" t="s">
        <v>73</v>
      </c>
      <c r="AD62" s="9" t="s">
        <v>20</v>
      </c>
    </row>
    <row r="63" spans="1:30" x14ac:dyDescent="0.25">
      <c r="A63" s="9">
        <f>IFERROR(IF(tblInputSheet[[#This Row],[Link]] = "", "", tblInputSheet[[#This Row],[Link]]), "")</f>
        <v>60</v>
      </c>
      <c r="B63" s="9">
        <f>IFERROR(IF(tblInputSheet[[#This Row],[Level]] = "", "", tblInputSheet[[#This Row],[Level]]), "")</f>
        <v>10</v>
      </c>
      <c r="C63" s="9">
        <f>IFERROR(IF(tblInputSheet[[#This Row],[Sl.No]] = "", "", tblInputSheet[[#This Row],[Sl.No]]), "")</f>
        <v>61</v>
      </c>
      <c r="D63" s="9" t="str">
        <f>IFERROR(IF(tblInputSheet[[#This Row],[Group]] = "", "", tblInputSheet[[#This Row],[Group]]), "")</f>
        <v>Service Level - Pricing Engine</v>
      </c>
      <c r="E63" s="9" t="str">
        <f>IFERROR(IF(tblInputSheet[[#This Row],[Process]] = "", "", REPT("*",Display!$B63)&amp;""&amp;tblInputSheet[[#This Row],[Process]]), "")</f>
        <v>**********Invoker</v>
      </c>
      <c r="F63" s="9" t="str">
        <f>IFERROR(IF(tblInputSheet[[#This Row],[Hosted Platform]] = "", "", tblInputSheet[[#This Row],[Hosted Platform]]), "")</f>
        <v>Legacy BC</v>
      </c>
      <c r="G63" s="9" t="str">
        <f>IFERROR(IF(tblInputSheet[[#This Row],[Provider]] = "-", "", tblInputSheet[[#This Row],[Provider]]), "")</f>
        <v>Claims-Legacy</v>
      </c>
      <c r="H63" s="9" t="str">
        <f>IFERROR(IF(tblInputSheet[[#This Row],[Consumer]] = "-", "", tblInputSheet[[#This Row],[Consumer]]), "")</f>
        <v>Claims-Legacy</v>
      </c>
      <c r="I63" s="9" t="str">
        <f>IFERROR(IF(tblInputSheet[[#This Row],[Integration Pattern]] = "-", "", tblInputSheet[[#This Row],[Integration Pattern]]), "")</f>
        <v>BC Internal</v>
      </c>
      <c r="J63" s="9" t="str">
        <f>IFERROR(IF(tblInputSheet[[#This Row],[Current State]] = "-", "", tblInputSheet[[#This Row],[Current State]]), "")</f>
        <v>Y</v>
      </c>
      <c r="K63" s="9" t="str">
        <f>IFERROR(IF(tblInputSheet[[#This Row],[End State]] = "-", "", tblInputSheet[[#This Row],[End State]]), "")</f>
        <v>Y</v>
      </c>
      <c r="L63" s="9" t="str">
        <f>IFERROR(IF(tblInputSheet[[#This Row],[MVP]] = "-", "", tblInputSheet[[#This Row],[MVP]]), "")</f>
        <v>Y</v>
      </c>
      <c r="M63" s="9" t="str">
        <f>IFERROR(IF(tblInputSheet[[#This Row],[Confidence Factor]] = "-", "", VLOOKUP(tblInputSheet[[#This Row],[Confidence Factor]], tblConfidenceFactor[], 3,FALSE)), "")</f>
        <v>Medium</v>
      </c>
      <c r="N63" s="9">
        <f>IFERROR(IF(tblInputSheet[[#This Row],[Count of Invocations]] = "", "", tblInputSheet[[#This Row],[Count of Invocations]]), "")</f>
        <v>1</v>
      </c>
      <c r="O63" s="9">
        <f>IFERROR(IF(tblInputSheet[[#This Row],[DB Calls (ms)]] = "", "", tblInputSheet[[#This Row],[DB Calls (ms)]]), "")</f>
        <v>0</v>
      </c>
      <c r="P63" s="9">
        <f>IFERROR(IF(tblInputSheet[[#This Row],[Logic (ms)]] = "", "", tblInputSheet[[#This Row],[Logic (ms)]]), "")</f>
        <v>1</v>
      </c>
      <c r="Q63" s="9">
        <f>IFERROR(IF(tblInputSheet[[#This Row],[Rules (ms)]] = "", "", tblInputSheet[[#This Row],[Rules (ms)]]), "")</f>
        <v>0</v>
      </c>
      <c r="R63" s="9">
        <f>IFERROR(IF(tblInputSheet[[#This Row],[Latency (ms)]] = "", "", tblInputSheet[[#This Row],[Latency (ms)]]), "")</f>
        <v>0</v>
      </c>
      <c r="S63" s="9">
        <f>IFERROR(SUM(tblDisplaySheet[[#This Row],[DB Calls (ms)]:[Latency (ms)]]), "")</f>
        <v>1</v>
      </c>
      <c r="T63" s="9">
        <f>IFERROR(tblDisplaySheet[[#This Row],[Time of Function / Call]]*tblDisplaySheet[[#This Row],[Count of Invocations]], "")</f>
        <v>1</v>
      </c>
      <c r="U63" s="9">
        <v>36</v>
      </c>
      <c r="V63" s="9">
        <f>IFERROR(IF(tblInputSheet[[#This Row],[Process NFR]] = "", "", tblInputSheet[[#This Row],[Process NFR]]), "")</f>
        <v>1</v>
      </c>
      <c r="W63" s="9">
        <f>tblDisplaySheet[[#This Row],[Process NFR]]*tblDisplaySheet[[#This Row],[Count of Invocations]]</f>
        <v>1</v>
      </c>
      <c r="X63" s="9">
        <v>51</v>
      </c>
      <c r="Y63" s="9">
        <f>tblDisplaySheet[[#This Row],[Total Process Path Length NFR]]-tblDisplaySheet[[#This Row],[Total Process Path Length]]</f>
        <v>15</v>
      </c>
      <c r="Z63" s="9" t="str">
        <f>IF(tblDisplaySheet[[#This Row],[Difference]]&gt;=0, "On Target", "Off Target")</f>
        <v>On Target</v>
      </c>
      <c r="AA63" s="8" t="str">
        <f>IFERROR(IF(tblInputSheet[[#This Row],[Is Leaf ?]] = "-", "", tblInputSheet[[#This Row],[Is Leaf ?]]), "")</f>
        <v>N</v>
      </c>
      <c r="AB63" s="8" t="str">
        <f>IFERROR(IF(tblInputSheet[[#This Row],[Owner]] = "", "", tblInputSheet[[#This Row],[Owner]]), "")</f>
        <v>Alak</v>
      </c>
      <c r="AC63" s="8" t="s">
        <v>20</v>
      </c>
      <c r="AD63" s="9" t="s">
        <v>20</v>
      </c>
    </row>
    <row r="64" spans="1:30" x14ac:dyDescent="0.25">
      <c r="A64" s="9">
        <f>IFERROR(IF(tblInputSheet[[#This Row],[Link]] = "", "", tblInputSheet[[#This Row],[Link]]), "")</f>
        <v>61</v>
      </c>
      <c r="B64" s="9">
        <f>IFERROR(IF(tblInputSheet[[#This Row],[Level]] = "", "", tblInputSheet[[#This Row],[Level]]), "")</f>
        <v>11</v>
      </c>
      <c r="C64" s="9">
        <f>IFERROR(IF(tblInputSheet[[#This Row],[Sl.No]] = "", "", tblInputSheet[[#This Row],[Sl.No]]), "")</f>
        <v>62</v>
      </c>
      <c r="D64" s="9" t="str">
        <f>IFERROR(IF(tblInputSheet[[#This Row],[Group]] = "", "", tblInputSheet[[#This Row],[Group]]), "")</f>
        <v>Service Level - Pricing Engine</v>
      </c>
      <c r="E64" s="9" t="str">
        <f>IFERROR(IF(tblInputSheet[[#This Row],[Process]] = "", "", REPT("*",Display!$B64)&amp;""&amp;tblInputSheet[[#This Row],[Process]]), "")</f>
        <v>***********UPF (National Modules) Module</v>
      </c>
      <c r="F64" s="9" t="str">
        <f>IFERROR(IF(tblInputSheet[[#This Row],[Hosted Platform]] = "", "", tblInputSheet[[#This Row],[Hosted Platform]]), "")</f>
        <v>Legacy BC</v>
      </c>
      <c r="G64" s="9" t="str">
        <f>IFERROR(IF(tblInputSheet[[#This Row],[Provider]] = "-", "", tblInputSheet[[#This Row],[Provider]]), "")</f>
        <v>Provider</v>
      </c>
      <c r="H64" s="9" t="str">
        <f>IFERROR(IF(tblInputSheet[[#This Row],[Consumer]] = "-", "", tblInputSheet[[#This Row],[Consumer]]), "")</f>
        <v>Claims-Legacy</v>
      </c>
      <c r="I64" s="9" t="str">
        <f>IFERROR(IF(tblInputSheet[[#This Row],[Integration Pattern]] = "-", "", tblInputSheet[[#This Row],[Integration Pattern]]), "")</f>
        <v>BC Internal</v>
      </c>
      <c r="J64" s="9" t="str">
        <f>IFERROR(IF(tblInputSheet[[#This Row],[Current State]] = "-", "", tblInputSheet[[#This Row],[Current State]]), "")</f>
        <v>Y</v>
      </c>
      <c r="K64" s="9" t="str">
        <f>IFERROR(IF(tblInputSheet[[#This Row],[End State]] = "-", "", tblInputSheet[[#This Row],[End State]]), "")</f>
        <v>Y</v>
      </c>
      <c r="L64" s="9" t="str">
        <f>IFERROR(IF(tblInputSheet[[#This Row],[MVP]] = "-", "", tblInputSheet[[#This Row],[MVP]]), "")</f>
        <v>Y</v>
      </c>
      <c r="M64" s="9" t="str">
        <f>IFERROR(IF(tblInputSheet[[#This Row],[Confidence Factor]] = "-", "", VLOOKUP(tblInputSheet[[#This Row],[Confidence Factor]], tblConfidenceFactor[], 3,FALSE)), "")</f>
        <v>Low</v>
      </c>
      <c r="N64" s="9">
        <f>IFERROR(IF(tblInputSheet[[#This Row],[Count of Invocations]] = "", "", tblInputSheet[[#This Row],[Count of Invocations]]), "")</f>
        <v>1</v>
      </c>
      <c r="O64" s="9">
        <f>IFERROR(IF(tblInputSheet[[#This Row],[DB Calls (ms)]] = "", "", tblInputSheet[[#This Row],[DB Calls (ms)]]), "")</f>
        <v>0</v>
      </c>
      <c r="P64" s="9">
        <f>IFERROR(IF(tblInputSheet[[#This Row],[Logic (ms)]] = "", "", tblInputSheet[[#This Row],[Logic (ms)]]), "")</f>
        <v>20</v>
      </c>
      <c r="Q64" s="9">
        <f>IFERROR(IF(tblInputSheet[[#This Row],[Rules (ms)]] = "", "", tblInputSheet[[#This Row],[Rules (ms)]]), "")</f>
        <v>0</v>
      </c>
      <c r="R64" s="9">
        <f>IFERROR(IF(tblInputSheet[[#This Row],[Latency (ms)]] = "", "", tblInputSheet[[#This Row],[Latency (ms)]]), "")</f>
        <v>15</v>
      </c>
      <c r="S64" s="9">
        <f>IFERROR(SUM(tblDisplaySheet[[#This Row],[DB Calls (ms)]:[Latency (ms)]]), "")</f>
        <v>35</v>
      </c>
      <c r="T64" s="9">
        <f>IFERROR(tblDisplaySheet[[#This Row],[Time of Function / Call]]*tblDisplaySheet[[#This Row],[Count of Invocations]], "")</f>
        <v>35</v>
      </c>
      <c r="U64" s="9">
        <v>35</v>
      </c>
      <c r="V64" s="9">
        <f>IFERROR(IF(tblInputSheet[[#This Row],[Process NFR]] = "", "", tblInputSheet[[#This Row],[Process NFR]]), "")</f>
        <v>50</v>
      </c>
      <c r="W64" s="9">
        <f>tblDisplaySheet[[#This Row],[Process NFR]]*tblDisplaySheet[[#This Row],[Count of Invocations]]</f>
        <v>50</v>
      </c>
      <c r="X64" s="9">
        <v>50</v>
      </c>
      <c r="Y64" s="9">
        <f>tblDisplaySheet[[#This Row],[Total Process Path Length NFR]]-tblDisplaySheet[[#This Row],[Total Process Path Length]]</f>
        <v>15</v>
      </c>
      <c r="Z64" s="9" t="str">
        <f>IF(tblDisplaySheet[[#This Row],[Difference]]&gt;=0, "On Target", "Off Target")</f>
        <v>On Target</v>
      </c>
      <c r="AA64" s="8" t="str">
        <f>IFERROR(IF(tblInputSheet[[#This Row],[Is Leaf ?]] = "-", "", tblInputSheet[[#This Row],[Is Leaf ?]]), "")</f>
        <v>Y</v>
      </c>
      <c r="AB64" s="8" t="str">
        <f>IFERROR(IF(tblInputSheet[[#This Row],[Owner]] = "", "", tblInputSheet[[#This Row],[Owner]]), "")</f>
        <v>Alak</v>
      </c>
      <c r="AC64" s="8" t="s">
        <v>20</v>
      </c>
      <c r="AD64" s="9" t="s">
        <v>20</v>
      </c>
    </row>
    <row r="65" spans="1:30" x14ac:dyDescent="0.25">
      <c r="A65" s="9">
        <f>IFERROR(IF(tblInputSheet[[#This Row],[Link]] = "", "", tblInputSheet[[#This Row],[Link]]), "")</f>
        <v>50</v>
      </c>
      <c r="B65" s="9">
        <f>IFERROR(IF(tblInputSheet[[#This Row],[Level]] = "", "", tblInputSheet[[#This Row],[Level]]), "")</f>
        <v>9</v>
      </c>
      <c r="C65" s="9">
        <f>IFERROR(IF(tblInputSheet[[#This Row],[Sl.No]] = "", "", tblInputSheet[[#This Row],[Sl.No]]), "")</f>
        <v>63</v>
      </c>
      <c r="D65" s="9" t="str">
        <f>IFERROR(IF(tblInputSheet[[#This Row],[Group]] = "", "", tblInputSheet[[#This Row],[Group]]), "")</f>
        <v>Service Level - Pricing Engine</v>
      </c>
      <c r="E65" s="9" t="str">
        <f>IFERROR(IF(tblInputSheet[[#This Row],[Process]] = "", "", REPT("*",Display!$B65)&amp;""&amp;tblInputSheet[[#This Row],[Process]]), "")</f>
        <v>*********AOC Vendor Request Service</v>
      </c>
      <c r="F65" s="9" t="str">
        <f>IFERROR(IF(tblInputSheet[[#This Row],[Hosted Platform]] = "", "", tblInputSheet[[#This Row],[Hosted Platform]]), "")</f>
        <v>PCF</v>
      </c>
      <c r="G65" s="9" t="str">
        <f>IFERROR(IF(tblInputSheet[[#This Row],[Provider]] = "-", "", tblInputSheet[[#This Row],[Provider]]), "")</f>
        <v>Key-Claims Adjudication</v>
      </c>
      <c r="H65" s="9" t="str">
        <f>IFERROR(IF(tblInputSheet[[#This Row],[Consumer]] = "-", "", tblInputSheet[[#This Row],[Consumer]]), "")</f>
        <v>Key-Claims Adjudication</v>
      </c>
      <c r="I65" s="9" t="str">
        <f>IFERROR(IF(tblInputSheet[[#This Row],[Integration Pattern]] = "-", "", tblInputSheet[[#This Row],[Integration Pattern]]), "")</f>
        <v xml:space="preserve">REST Service - MQ </v>
      </c>
      <c r="J65" s="9" t="str">
        <f>IFERROR(IF(tblInputSheet[[#This Row],[Current State]] = "-", "", tblInputSheet[[#This Row],[Current State]]), "")</f>
        <v>Y</v>
      </c>
      <c r="K65" s="9" t="str">
        <f>IFERROR(IF(tblInputSheet[[#This Row],[End State]] = "-", "", tblInputSheet[[#This Row],[End State]]), "")</f>
        <v>Y</v>
      </c>
      <c r="L65" s="9" t="str">
        <f>IFERROR(IF(tblInputSheet[[#This Row],[MVP]] = "-", "", tblInputSheet[[#This Row],[MVP]]), "")</f>
        <v>Y</v>
      </c>
      <c r="M65" s="9" t="str">
        <f>IFERROR(IF(tblInputSheet[[#This Row],[Confidence Factor]] = "-", "", VLOOKUP(tblInputSheet[[#This Row],[Confidence Factor]], tblConfidenceFactor[], 3,FALSE)), "")</f>
        <v>Low</v>
      </c>
      <c r="N65" s="9">
        <f>IFERROR(IF(tblInputSheet[[#This Row],[Count of Invocations]] = "", "", tblInputSheet[[#This Row],[Count of Invocations]]), "")</f>
        <v>1</v>
      </c>
      <c r="O65" s="9">
        <f>IFERROR(IF(tblInputSheet[[#This Row],[DB Calls (ms)]] = "", "", tblInputSheet[[#This Row],[DB Calls (ms)]]), "")</f>
        <v>0</v>
      </c>
      <c r="P65" s="9">
        <f>IFERROR(IF(tblInputSheet[[#This Row],[Logic (ms)]] = "", "", tblInputSheet[[#This Row],[Logic (ms)]]), "")</f>
        <v>20</v>
      </c>
      <c r="Q65" s="9">
        <f>IFERROR(IF(tblInputSheet[[#This Row],[Rules (ms)]] = "", "", tblInputSheet[[#This Row],[Rules (ms)]]), "")</f>
        <v>0</v>
      </c>
      <c r="R65" s="9">
        <f>IFERROR(IF(tblInputSheet[[#This Row],[Latency (ms)]] = "", "", tblInputSheet[[#This Row],[Latency (ms)]]), "")</f>
        <v>15</v>
      </c>
      <c r="S65" s="9">
        <f>IFERROR(SUM(tblDisplaySheet[[#This Row],[DB Calls (ms)]:[Latency (ms)]]), "")</f>
        <v>35</v>
      </c>
      <c r="T65" s="9">
        <f>IFERROR(tblDisplaySheet[[#This Row],[Time of Function / Call]]*tblDisplaySheet[[#This Row],[Count of Invocations]], "")</f>
        <v>35</v>
      </c>
      <c r="U65" s="9">
        <v>35</v>
      </c>
      <c r="V65" s="9">
        <f>IFERROR(IF(tblInputSheet[[#This Row],[Process NFR]] = "", "", tblInputSheet[[#This Row],[Process NFR]]), "")</f>
        <v>50</v>
      </c>
      <c r="W65" s="9">
        <f>tblDisplaySheet[[#This Row],[Process NFR]]*tblDisplaySheet[[#This Row],[Count of Invocations]]</f>
        <v>50</v>
      </c>
      <c r="X65" s="9">
        <v>50</v>
      </c>
      <c r="Y65" s="9">
        <f>tblDisplaySheet[[#This Row],[Total Process Path Length NFR]]-tblDisplaySheet[[#This Row],[Total Process Path Length]]</f>
        <v>15</v>
      </c>
      <c r="Z65" s="9" t="str">
        <f>IF(tblDisplaySheet[[#This Row],[Difference]]&gt;=0, "On Target", "Off Target")</f>
        <v>On Target</v>
      </c>
      <c r="AA65" s="8" t="str">
        <f>IFERROR(IF(tblInputSheet[[#This Row],[Is Leaf ?]] = "-", "", tblInputSheet[[#This Row],[Is Leaf ?]]), "")</f>
        <v>Y</v>
      </c>
      <c r="AB65" s="8" t="str">
        <f>IFERROR(IF(tblInputSheet[[#This Row],[Owner]] = "", "", tblInputSheet[[#This Row],[Owner]]), "")</f>
        <v>Alak</v>
      </c>
      <c r="AC65" s="8" t="s">
        <v>20</v>
      </c>
      <c r="AD65" s="9" t="s">
        <v>73</v>
      </c>
    </row>
    <row r="66" spans="1:30" x14ac:dyDescent="0.25">
      <c r="A66" s="9">
        <f>IFERROR(IF(tblInputSheet[[#This Row],[Link]] = "", "", tblInputSheet[[#This Row],[Link]]), "")</f>
        <v>50</v>
      </c>
      <c r="B66" s="9">
        <f>IFERROR(IF(tblInputSheet[[#This Row],[Level]] = "", "", tblInputSheet[[#This Row],[Level]]), "")</f>
        <v>9</v>
      </c>
      <c r="C66" s="9">
        <f>IFERROR(IF(tblInputSheet[[#This Row],[Sl.No]] = "", "", tblInputSheet[[#This Row],[Sl.No]]), "")</f>
        <v>64</v>
      </c>
      <c r="D66" s="9" t="str">
        <f>IFERROR(IF(tblInputSheet[[#This Row],[Group]] = "", "", tblInputSheet[[#This Row],[Group]]), "")</f>
        <v>Service Level - Pricing Engine</v>
      </c>
      <c r="E66" s="9" t="str">
        <f>IFERROR(IF(tblInputSheet[[#This Row],[Process]] = "", "", REPT("*",Display!$B66)&amp;""&amp;tblInputSheet[[#This Row],[Process]]), "")</f>
        <v>*********AOC Vendor Response Service</v>
      </c>
      <c r="F66" s="9" t="str">
        <f>IFERROR(IF(tblInputSheet[[#This Row],[Hosted Platform]] = "", "", tblInputSheet[[#This Row],[Hosted Platform]]), "")</f>
        <v>PCF</v>
      </c>
      <c r="G66" s="9" t="str">
        <f>IFERROR(IF(tblInputSheet[[#This Row],[Provider]] = "-", "", tblInputSheet[[#This Row],[Provider]]), "")</f>
        <v>Key-Claims Adjudication</v>
      </c>
      <c r="H66" s="9" t="str">
        <f>IFERROR(IF(tblInputSheet[[#This Row],[Consumer]] = "-", "", tblInputSheet[[#This Row],[Consumer]]), "")</f>
        <v>Key-Claims Adjudication</v>
      </c>
      <c r="I66" s="9" t="str">
        <f>IFERROR(IF(tblInputSheet[[#This Row],[Integration Pattern]] = "-", "", tblInputSheet[[#This Row],[Integration Pattern]]), "")</f>
        <v xml:space="preserve">REST Service - MQ </v>
      </c>
      <c r="J66" s="9" t="str">
        <f>IFERROR(IF(tblInputSheet[[#This Row],[Current State]] = "-", "", tblInputSheet[[#This Row],[Current State]]), "")</f>
        <v>Y</v>
      </c>
      <c r="K66" s="9" t="str">
        <f>IFERROR(IF(tblInputSheet[[#This Row],[End State]] = "-", "", tblInputSheet[[#This Row],[End State]]), "")</f>
        <v>Y</v>
      </c>
      <c r="L66" s="9" t="str">
        <f>IFERROR(IF(tblInputSheet[[#This Row],[MVP]] = "-", "", tblInputSheet[[#This Row],[MVP]]), "")</f>
        <v>Y</v>
      </c>
      <c r="M66" s="9" t="str">
        <f>IFERROR(IF(tblInputSheet[[#This Row],[Confidence Factor]] = "-", "", VLOOKUP(tblInputSheet[[#This Row],[Confidence Factor]], tblConfidenceFactor[], 3,FALSE)), "")</f>
        <v>Low</v>
      </c>
      <c r="N66" s="9">
        <f>IFERROR(IF(tblInputSheet[[#This Row],[Count of Invocations]] = "", "", tblInputSheet[[#This Row],[Count of Invocations]]), "")</f>
        <v>1</v>
      </c>
      <c r="O66" s="9">
        <f>IFERROR(IF(tblInputSheet[[#This Row],[DB Calls (ms)]] = "", "", tblInputSheet[[#This Row],[DB Calls (ms)]]), "")</f>
        <v>0</v>
      </c>
      <c r="P66" s="9">
        <f>IFERROR(IF(tblInputSheet[[#This Row],[Logic (ms)]] = "", "", tblInputSheet[[#This Row],[Logic (ms)]]), "")</f>
        <v>20</v>
      </c>
      <c r="Q66" s="9">
        <f>IFERROR(IF(tblInputSheet[[#This Row],[Rules (ms)]] = "", "", tblInputSheet[[#This Row],[Rules (ms)]]), "")</f>
        <v>0</v>
      </c>
      <c r="R66" s="9">
        <f>IFERROR(IF(tblInputSheet[[#This Row],[Latency (ms)]] = "", "", tblInputSheet[[#This Row],[Latency (ms)]]), "")</f>
        <v>15</v>
      </c>
      <c r="S66" s="9">
        <f>IFERROR(SUM(tblDisplaySheet[[#This Row],[DB Calls (ms)]:[Latency (ms)]]), "")</f>
        <v>35</v>
      </c>
      <c r="T66" s="9">
        <f>IFERROR(tblDisplaySheet[[#This Row],[Time of Function / Call]]*tblDisplaySheet[[#This Row],[Count of Invocations]], "")</f>
        <v>35</v>
      </c>
      <c r="U66" s="9">
        <v>35</v>
      </c>
      <c r="V66" s="9">
        <f>IFERROR(IF(tblInputSheet[[#This Row],[Process NFR]] = "", "", tblInputSheet[[#This Row],[Process NFR]]), "")</f>
        <v>50</v>
      </c>
      <c r="W66" s="9">
        <f>tblDisplaySheet[[#This Row],[Process NFR]]*tblDisplaySheet[[#This Row],[Count of Invocations]]</f>
        <v>50</v>
      </c>
      <c r="X66" s="9">
        <v>50</v>
      </c>
      <c r="Y66" s="9">
        <f>tblDisplaySheet[[#This Row],[Total Process Path Length NFR]]-tblDisplaySheet[[#This Row],[Total Process Path Length]]</f>
        <v>15</v>
      </c>
      <c r="Z66" s="9" t="str">
        <f>IF(tblDisplaySheet[[#This Row],[Difference]]&gt;=0, "On Target", "Off Target")</f>
        <v>On Target</v>
      </c>
      <c r="AA66" s="8" t="str">
        <f>IFERROR(IF(tblInputSheet[[#This Row],[Is Leaf ?]] = "-", "", tblInputSheet[[#This Row],[Is Leaf ?]]), "")</f>
        <v>Y</v>
      </c>
      <c r="AB66" s="8" t="str">
        <f>IFERROR(IF(tblInputSheet[[#This Row],[Owner]] = "", "", tblInputSheet[[#This Row],[Owner]]), "")</f>
        <v>Alak</v>
      </c>
      <c r="AC66" s="8" t="s">
        <v>20</v>
      </c>
      <c r="AD66" s="9" t="s">
        <v>20</v>
      </c>
    </row>
    <row r="67" spans="1:30" x14ac:dyDescent="0.25">
      <c r="A67" s="9">
        <f>IFERROR(IF(tblInputSheet[[#This Row],[Link]] = "", "", tblInputSheet[[#This Row],[Link]]), "")</f>
        <v>50</v>
      </c>
      <c r="B67" s="9">
        <f>IFERROR(IF(tblInputSheet[[#This Row],[Level]] = "", "", tblInputSheet[[#This Row],[Level]]), "")</f>
        <v>9</v>
      </c>
      <c r="C67" s="9">
        <f>IFERROR(IF(tblInputSheet[[#This Row],[Sl.No]] = "", "", tblInputSheet[[#This Row],[Sl.No]]), "")</f>
        <v>65</v>
      </c>
      <c r="D67" s="9" t="str">
        <f>IFERROR(IF(tblInputSheet[[#This Row],[Group]] = "", "", tblInputSheet[[#This Row],[Group]]), "")</f>
        <v>Service Level - Pricing Engine</v>
      </c>
      <c r="E67" s="9" t="str">
        <f>IFERROR(IF(tblInputSheet[[#This Row],[Process]] = "", "", REPT("*",Display!$B67)&amp;""&amp;tblInputSheet[[#This Row],[Process]]), "")</f>
        <v>*********TPL Microservice</v>
      </c>
      <c r="F67" s="9" t="str">
        <f>IFERROR(IF(tblInputSheet[[#This Row],[Hosted Platform]] = "", "", tblInputSheet[[#This Row],[Hosted Platform]]), "")</f>
        <v>PCF</v>
      </c>
      <c r="G67" s="9" t="str">
        <f>IFERROR(IF(tblInputSheet[[#This Row],[Provider]] = "-", "", tblInputSheet[[#This Row],[Provider]]), "")</f>
        <v>Key-Claims Adjudication</v>
      </c>
      <c r="H67" s="9" t="str">
        <f>IFERROR(IF(tblInputSheet[[#This Row],[Consumer]] = "-", "", tblInputSheet[[#This Row],[Consumer]]), "")</f>
        <v>Key-Claims Adjudication</v>
      </c>
      <c r="I67" s="9" t="str">
        <f>IFERROR(IF(tblInputSheet[[#This Row],[Integration Pattern]] = "-", "", tblInputSheet[[#This Row],[Integration Pattern]]), "")</f>
        <v>REST Service - ESB</v>
      </c>
      <c r="J67" s="9" t="str">
        <f>IFERROR(IF(tblInputSheet[[#This Row],[Current State]] = "-", "", tblInputSheet[[#This Row],[Current State]]), "")</f>
        <v>Y</v>
      </c>
      <c r="K67" s="9" t="str">
        <f>IFERROR(IF(tblInputSheet[[#This Row],[End State]] = "-", "", tblInputSheet[[#This Row],[End State]]), "")</f>
        <v>Y</v>
      </c>
      <c r="L67" s="9" t="str">
        <f>IFERROR(IF(tblInputSheet[[#This Row],[MVP]] = "-", "", tblInputSheet[[#This Row],[MVP]]), "")</f>
        <v>Y</v>
      </c>
      <c r="M67" s="9" t="str">
        <f>IFERROR(IF(tblInputSheet[[#This Row],[Confidence Factor]] = "-", "", VLOOKUP(tblInputSheet[[#This Row],[Confidence Factor]], tblConfidenceFactor[], 3,FALSE)), "")</f>
        <v>Low</v>
      </c>
      <c r="N67" s="9">
        <f>IFERROR(IF(tblInputSheet[[#This Row],[Count of Invocations]] = "", "", tblInputSheet[[#This Row],[Count of Invocations]]), "")</f>
        <v>1</v>
      </c>
      <c r="O67" s="9">
        <f>IFERROR(IF(tblInputSheet[[#This Row],[DB Calls (ms)]] = "", "", tblInputSheet[[#This Row],[DB Calls (ms)]]), "")</f>
        <v>0</v>
      </c>
      <c r="P67" s="9">
        <f>IFERROR(IF(tblInputSheet[[#This Row],[Logic (ms)]] = "", "", tblInputSheet[[#This Row],[Logic (ms)]]), "")</f>
        <v>20</v>
      </c>
      <c r="Q67" s="9">
        <f>IFERROR(IF(tblInputSheet[[#This Row],[Rules (ms)]] = "", "", tblInputSheet[[#This Row],[Rules (ms)]]), "")</f>
        <v>0</v>
      </c>
      <c r="R67" s="9">
        <f>IFERROR(IF(tblInputSheet[[#This Row],[Latency (ms)]] = "", "", tblInputSheet[[#This Row],[Latency (ms)]]), "")</f>
        <v>25</v>
      </c>
      <c r="S67" s="9">
        <f>IFERROR(SUM(tblDisplaySheet[[#This Row],[DB Calls (ms)]:[Latency (ms)]]), "")</f>
        <v>45</v>
      </c>
      <c r="T67" s="9">
        <f>IFERROR(tblDisplaySheet[[#This Row],[Time of Function / Call]]*tblDisplaySheet[[#This Row],[Count of Invocations]], "")</f>
        <v>45</v>
      </c>
      <c r="U67" s="9">
        <v>466</v>
      </c>
      <c r="V67" s="9">
        <f>IFERROR(IF(tblInputSheet[[#This Row],[Process NFR]] = "", "", tblInputSheet[[#This Row],[Process NFR]]), "")</f>
        <v>50</v>
      </c>
      <c r="W67" s="9">
        <f>tblDisplaySheet[[#This Row],[Process NFR]]*tblDisplaySheet[[#This Row],[Count of Invocations]]</f>
        <v>50</v>
      </c>
      <c r="X67" s="9">
        <v>476</v>
      </c>
      <c r="Y67" s="9">
        <f>tblDisplaySheet[[#This Row],[Total Process Path Length NFR]]-tblDisplaySheet[[#This Row],[Total Process Path Length]]</f>
        <v>10</v>
      </c>
      <c r="Z67" s="9" t="str">
        <f>IF(tblDisplaySheet[[#This Row],[Difference]]&gt;=0, "On Target", "Off Target")</f>
        <v>On Target</v>
      </c>
      <c r="AA67" s="8" t="str">
        <f>IFERROR(IF(tblInputSheet[[#This Row],[Is Leaf ?]] = "-", "", tblInputSheet[[#This Row],[Is Leaf ?]]), "")</f>
        <v>N</v>
      </c>
      <c r="AB67" s="8" t="str">
        <f>IFERROR(IF(tblInputSheet[[#This Row],[Owner]] = "", "", tblInputSheet[[#This Row],[Owner]]), "")</f>
        <v>Alak</v>
      </c>
      <c r="AC67" s="8" t="s">
        <v>73</v>
      </c>
      <c r="AD67" s="9" t="s">
        <v>20</v>
      </c>
    </row>
    <row r="68" spans="1:30" x14ac:dyDescent="0.25">
      <c r="A68" s="9">
        <f>IFERROR(IF(tblInputSheet[[#This Row],[Link]] = "", "", tblInputSheet[[#This Row],[Link]]), "")</f>
        <v>65</v>
      </c>
      <c r="B68" s="9">
        <f>IFERROR(IF(tblInputSheet[[#This Row],[Level]] = "", "", tblInputSheet[[#This Row],[Level]]), "")</f>
        <v>10</v>
      </c>
      <c r="C68" s="9">
        <f>IFERROR(IF(tblInputSheet[[#This Row],[Sl.No]] = "", "", tblInputSheet[[#This Row],[Sl.No]]), "")</f>
        <v>66</v>
      </c>
      <c r="D68" s="9" t="str">
        <f>IFERROR(IF(tblInputSheet[[#This Row],[Group]] = "", "", tblInputSheet[[#This Row],[Group]]), "")</f>
        <v>Service Level - Pricing Engine</v>
      </c>
      <c r="E68" s="9" t="str">
        <f>IFERROR(IF(tblInputSheet[[#This Row],[Process]] = "", "", REPT("*",Display!$B68)&amp;""&amp;tblInputSheet[[#This Row],[Process]]), "")</f>
        <v>**********Contract API</v>
      </c>
      <c r="F68" s="9" t="str">
        <f>IFERROR(IF(tblInputSheet[[#This Row],[Hosted Platform]] = "", "", tblInputSheet[[#This Row],[Hosted Platform]]), "")</f>
        <v>PCF</v>
      </c>
      <c r="G68" s="9" t="str">
        <f>IFERROR(IF(tblInputSheet[[#This Row],[Provider]] = "-", "", tblInputSheet[[#This Row],[Provider]]), "")</f>
        <v>Key-Claims Adjudication</v>
      </c>
      <c r="H68" s="9" t="str">
        <f>IFERROR(IF(tblInputSheet[[#This Row],[Consumer]] = "-", "", tblInputSheet[[#This Row],[Consumer]]), "")</f>
        <v>Key-Claims Adjudication</v>
      </c>
      <c r="I68" s="9" t="str">
        <f>IFERROR(IF(tblInputSheet[[#This Row],[Integration Pattern]] = "-", "", tblInputSheet[[#This Row],[Integration Pattern]]), "")</f>
        <v>PCF Internal (C-to-C)</v>
      </c>
      <c r="J68" s="9" t="str">
        <f>IFERROR(IF(tblInputSheet[[#This Row],[Current State]] = "-", "", tblInputSheet[[#This Row],[Current State]]), "")</f>
        <v>Y</v>
      </c>
      <c r="K68" s="9" t="str">
        <f>IFERROR(IF(tblInputSheet[[#This Row],[End State]] = "-", "", tblInputSheet[[#This Row],[End State]]), "")</f>
        <v>Y</v>
      </c>
      <c r="L68" s="9" t="str">
        <f>IFERROR(IF(tblInputSheet[[#This Row],[MVP]] = "-", "", tblInputSheet[[#This Row],[MVP]]), "")</f>
        <v>Y</v>
      </c>
      <c r="M68" s="9" t="str">
        <f>IFERROR(IF(tblInputSheet[[#This Row],[Confidence Factor]] = "-", "", VLOOKUP(tblInputSheet[[#This Row],[Confidence Factor]], tblConfidenceFactor[], 3,FALSE)), "")</f>
        <v>Medium</v>
      </c>
      <c r="N68" s="9">
        <f>IFERROR(IF(tblInputSheet[[#This Row],[Count of Invocations]] = "", "", tblInputSheet[[#This Row],[Count of Invocations]]), "")</f>
        <v>1</v>
      </c>
      <c r="O68" s="9">
        <f>IFERROR(IF(tblInputSheet[[#This Row],[DB Calls (ms)]] = "", "", tblInputSheet[[#This Row],[DB Calls (ms)]]), "")</f>
        <v>5</v>
      </c>
      <c r="P68" s="9">
        <f>IFERROR(IF(tblInputSheet[[#This Row],[Logic (ms)]] = "", "", tblInputSheet[[#This Row],[Logic (ms)]]), "")</f>
        <v>30</v>
      </c>
      <c r="Q68" s="9">
        <f>IFERROR(IF(tblInputSheet[[#This Row],[Rules (ms)]] = "", "", tblInputSheet[[#This Row],[Rules (ms)]]), "")</f>
        <v>0</v>
      </c>
      <c r="R68" s="9">
        <f>IFERROR(IF(tblInputSheet[[#This Row],[Latency (ms)]] = "", "", tblInputSheet[[#This Row],[Latency (ms)]]), "")</f>
        <v>10</v>
      </c>
      <c r="S68" s="9">
        <f>IFERROR(SUM(tblDisplaySheet[[#This Row],[DB Calls (ms)]:[Latency (ms)]]), "")</f>
        <v>45</v>
      </c>
      <c r="T68" s="9">
        <f>IFERROR(tblDisplaySheet[[#This Row],[Time of Function / Call]]*tblDisplaySheet[[#This Row],[Count of Invocations]], "")</f>
        <v>45</v>
      </c>
      <c r="U68" s="9">
        <v>45</v>
      </c>
      <c r="V68" s="9">
        <f>IFERROR(IF(tblInputSheet[[#This Row],[Process NFR]] = "", "", tblInputSheet[[#This Row],[Process NFR]]), "")</f>
        <v>50</v>
      </c>
      <c r="W68" s="9">
        <f>tblDisplaySheet[[#This Row],[Process NFR]]*tblDisplaySheet[[#This Row],[Count of Invocations]]</f>
        <v>50</v>
      </c>
      <c r="X68" s="9">
        <v>50</v>
      </c>
      <c r="Y68" s="9">
        <f>tblDisplaySheet[[#This Row],[Total Process Path Length NFR]]-tblDisplaySheet[[#This Row],[Total Process Path Length]]</f>
        <v>5</v>
      </c>
      <c r="Z68" s="9" t="str">
        <f>IF(tblDisplaySheet[[#This Row],[Difference]]&gt;=0, "On Target", "Off Target")</f>
        <v>On Target</v>
      </c>
      <c r="AA68" s="8" t="str">
        <f>IFERROR(IF(tblInputSheet[[#This Row],[Is Leaf ?]] = "-", "", tblInputSheet[[#This Row],[Is Leaf ?]]), "")</f>
        <v>Y</v>
      </c>
      <c r="AB68" s="9" t="str">
        <f>IFERROR(IF(tblInputSheet[[#This Row],[Owner]] = "", "", tblInputSheet[[#This Row],[Owner]]), "")</f>
        <v>Greg</v>
      </c>
      <c r="AC68" s="8" t="s">
        <v>20</v>
      </c>
      <c r="AD68" s="9" t="s">
        <v>73</v>
      </c>
    </row>
    <row r="69" spans="1:30" x14ac:dyDescent="0.25">
      <c r="A69" s="9">
        <f>IFERROR(IF(tblInputSheet[[#This Row],[Link]] = "", "", tblInputSheet[[#This Row],[Link]]), "")</f>
        <v>65</v>
      </c>
      <c r="B69" s="9">
        <f>IFERROR(IF(tblInputSheet[[#This Row],[Level]] = "", "", tblInputSheet[[#This Row],[Level]]), "")</f>
        <v>10</v>
      </c>
      <c r="C69" s="9">
        <f>IFERROR(IF(tblInputSheet[[#This Row],[Sl.No]] = "", "", tblInputSheet[[#This Row],[Sl.No]]), "")</f>
        <v>67</v>
      </c>
      <c r="D69" s="9" t="str">
        <f>IFERROR(IF(tblInputSheet[[#This Row],[Group]] = "", "", tblInputSheet[[#This Row],[Group]]), "")</f>
        <v>Service Level - Pricing Engine</v>
      </c>
      <c r="E69" s="9" t="str">
        <f>IFERROR(IF(tblInputSheet[[#This Row],[Process]] = "", "", REPT("*",Display!$B69)&amp;""&amp;tblInputSheet[[#This Row],[Process]]), "")</f>
        <v>**********TPL Mule Adapter</v>
      </c>
      <c r="F69" s="9" t="str">
        <f>IFERROR(IF(tblInputSheet[[#This Row],[Hosted Platform]] = "", "", tblInputSheet[[#This Row],[Hosted Platform]]), "")</f>
        <v>Mule ESB</v>
      </c>
      <c r="G69" s="9" t="str">
        <f>IFERROR(IF(tblInputSheet[[#This Row],[Provider]] = "-", "", tblInputSheet[[#This Row],[Provider]]), "")</f>
        <v>Key-Claims Adjudication</v>
      </c>
      <c r="H69" s="9" t="str">
        <f>IFERROR(IF(tblInputSheet[[#This Row],[Consumer]] = "-", "", tblInputSheet[[#This Row],[Consumer]]), "")</f>
        <v>Other</v>
      </c>
      <c r="I69" s="9" t="str">
        <f>IFERROR(IF(tblInputSheet[[#This Row],[Integration Pattern]] = "-", "", tblInputSheet[[#This Row],[Integration Pattern]]), "")</f>
        <v>ESB - CTG Integration</v>
      </c>
      <c r="J69" s="9" t="str">
        <f>IFERROR(IF(tblInputSheet[[#This Row],[Current State]] = "-", "", tblInputSheet[[#This Row],[Current State]]), "")</f>
        <v>Y</v>
      </c>
      <c r="K69" s="9" t="str">
        <f>IFERROR(IF(tblInputSheet[[#This Row],[End State]] = "-", "", tblInputSheet[[#This Row],[End State]]), "")</f>
        <v>N</v>
      </c>
      <c r="L69" s="9" t="str">
        <f>IFERROR(IF(tblInputSheet[[#This Row],[MVP]] = "-", "", tblInputSheet[[#This Row],[MVP]]), "")</f>
        <v>Y</v>
      </c>
      <c r="M69" s="9" t="str">
        <f>IFERROR(IF(tblInputSheet[[#This Row],[Confidence Factor]] = "-", "", VLOOKUP(tblInputSheet[[#This Row],[Confidence Factor]], tblConfidenceFactor[], 3,FALSE)), "")</f>
        <v>Low</v>
      </c>
      <c r="N69" s="9">
        <f>IFERROR(IF(tblInputSheet[[#This Row],[Count of Invocations]] = "", "", tblInputSheet[[#This Row],[Count of Invocations]]), "")</f>
        <v>1</v>
      </c>
      <c r="O69" s="9">
        <f>IFERROR(IF(tblInputSheet[[#This Row],[DB Calls (ms)]] = "", "", tblInputSheet[[#This Row],[DB Calls (ms)]]), "")</f>
        <v>0</v>
      </c>
      <c r="P69" s="9">
        <f>IFERROR(IF(tblInputSheet[[#This Row],[Logic (ms)]] = "", "", tblInputSheet[[#This Row],[Logic (ms)]]), "")</f>
        <v>70</v>
      </c>
      <c r="Q69" s="9">
        <f>IFERROR(IF(tblInputSheet[[#This Row],[Rules (ms)]] = "", "", tblInputSheet[[#This Row],[Rules (ms)]]), "")</f>
        <v>0</v>
      </c>
      <c r="R69" s="9">
        <f>IFERROR(IF(tblInputSheet[[#This Row],[Latency (ms)]] = "", "", tblInputSheet[[#This Row],[Latency (ms)]]), "")</f>
        <v>55</v>
      </c>
      <c r="S69" s="9">
        <f>IFERROR(SUM(tblDisplaySheet[[#This Row],[DB Calls (ms)]:[Latency (ms)]]), "")</f>
        <v>125</v>
      </c>
      <c r="T69" s="9">
        <f>IFERROR(tblDisplaySheet[[#This Row],[Time of Function / Call]]*tblDisplaySheet[[#This Row],[Count of Invocations]], "")</f>
        <v>125</v>
      </c>
      <c r="U69" s="9">
        <v>376</v>
      </c>
      <c r="V69" s="9">
        <f>IFERROR(IF(tblInputSheet[[#This Row],[Process NFR]] = "", "", tblInputSheet[[#This Row],[Process NFR]]), "")</f>
        <v>125</v>
      </c>
      <c r="W69" s="9">
        <f>tblDisplaySheet[[#This Row],[Process NFR]]*tblDisplaySheet[[#This Row],[Count of Invocations]]</f>
        <v>125</v>
      </c>
      <c r="X69" s="9">
        <v>376</v>
      </c>
      <c r="Y69" s="9">
        <f>tblDisplaySheet[[#This Row],[Total Process Path Length NFR]]-tblDisplaySheet[[#This Row],[Total Process Path Length]]</f>
        <v>0</v>
      </c>
      <c r="Z69" s="9" t="str">
        <f>IF(tblDisplaySheet[[#This Row],[Difference]]&gt;=0, "On Target", "Off Target")</f>
        <v>On Target</v>
      </c>
      <c r="AA69" s="8" t="str">
        <f>IFERROR(IF(tblInputSheet[[#This Row],[Is Leaf ?]] = "-", "", tblInputSheet[[#This Row],[Is Leaf ?]]), "")</f>
        <v>N</v>
      </c>
      <c r="AB69" s="9" t="str">
        <f>IFERROR(IF(tblInputSheet[[#This Row],[Owner]] = "", "", tblInputSheet[[#This Row],[Owner]]), "")</f>
        <v>Alak</v>
      </c>
      <c r="AC69" s="8" t="s">
        <v>73</v>
      </c>
      <c r="AD69" s="9" t="s">
        <v>73</v>
      </c>
    </row>
    <row r="70" spans="1:30" x14ac:dyDescent="0.25">
      <c r="A70" s="9">
        <f>IFERROR(IF(tblInputSheet[[#This Row],[Link]] = "", "", tblInputSheet[[#This Row],[Link]]), "")</f>
        <v>67</v>
      </c>
      <c r="B70" s="9">
        <f>IFERROR(IF(tblInputSheet[[#This Row],[Level]] = "", "", tblInputSheet[[#This Row],[Level]]), "")</f>
        <v>11</v>
      </c>
      <c r="C70" s="9">
        <f>IFERROR(IF(tblInputSheet[[#This Row],[Sl.No]] = "", "", tblInputSheet[[#This Row],[Sl.No]]), "")</f>
        <v>68</v>
      </c>
      <c r="D70" s="9" t="str">
        <f>IFERROR(IF(tblInputSheet[[#This Row],[Group]] = "", "", tblInputSheet[[#This Row],[Group]]), "")</f>
        <v>Service Level - Pricing Engine</v>
      </c>
      <c r="E70" s="9" t="str">
        <f>IFERROR(IF(tblInputSheet[[#This Row],[Process]] = "", "", REPT("*",Display!$B70)&amp;""&amp;tblInputSheet[[#This Row],[Process]]), "")</f>
        <v>***********Invoker</v>
      </c>
      <c r="F70" s="9" t="str">
        <f>IFERROR(IF(tblInputSheet[[#This Row],[Hosted Platform]] = "", "", tblInputSheet[[#This Row],[Hosted Platform]]), "")</f>
        <v>Legacy BC</v>
      </c>
      <c r="G70" s="9" t="str">
        <f>IFERROR(IF(tblInputSheet[[#This Row],[Provider]] = "-", "", tblInputSheet[[#This Row],[Provider]]), "")</f>
        <v>Claims-Legacy</v>
      </c>
      <c r="H70" s="9" t="str">
        <f>IFERROR(IF(tblInputSheet[[#This Row],[Consumer]] = "-", "", tblInputSheet[[#This Row],[Consumer]]), "")</f>
        <v>Claims-Legacy</v>
      </c>
      <c r="I70" s="9" t="str">
        <f>IFERROR(IF(tblInputSheet[[#This Row],[Integration Pattern]] = "-", "", tblInputSheet[[#This Row],[Integration Pattern]]), "")</f>
        <v>BC Internal</v>
      </c>
      <c r="J70" s="9" t="str">
        <f>IFERROR(IF(tblInputSheet[[#This Row],[Current State]] = "-", "", tblInputSheet[[#This Row],[Current State]]), "")</f>
        <v>Y</v>
      </c>
      <c r="K70" s="9" t="str">
        <f>IFERROR(IF(tblInputSheet[[#This Row],[End State]] = "-", "", tblInputSheet[[#This Row],[End State]]), "")</f>
        <v>Y</v>
      </c>
      <c r="L70" s="9" t="str">
        <f>IFERROR(IF(tblInputSheet[[#This Row],[MVP]] = "-", "", tblInputSheet[[#This Row],[MVP]]), "")</f>
        <v>Y</v>
      </c>
      <c r="M70" s="9" t="str">
        <f>IFERROR(IF(tblInputSheet[[#This Row],[Confidence Factor]] = "-", "", VLOOKUP(tblInputSheet[[#This Row],[Confidence Factor]], tblConfidenceFactor[], 3,FALSE)), "")</f>
        <v>Medium</v>
      </c>
      <c r="N70" s="9">
        <f>IFERROR(IF(tblInputSheet[[#This Row],[Count of Invocations]] = "", "", tblInputSheet[[#This Row],[Count of Invocations]]), "")</f>
        <v>1</v>
      </c>
      <c r="O70" s="9">
        <f>IFERROR(IF(tblInputSheet[[#This Row],[DB Calls (ms)]] = "", "", tblInputSheet[[#This Row],[DB Calls (ms)]]), "")</f>
        <v>0</v>
      </c>
      <c r="P70" s="9">
        <f>IFERROR(IF(tblInputSheet[[#This Row],[Logic (ms)]] = "", "", tblInputSheet[[#This Row],[Logic (ms)]]), "")</f>
        <v>1</v>
      </c>
      <c r="Q70" s="9">
        <f>IFERROR(IF(tblInputSheet[[#This Row],[Rules (ms)]] = "", "", tblInputSheet[[#This Row],[Rules (ms)]]), "")</f>
        <v>0</v>
      </c>
      <c r="R70" s="9">
        <f>IFERROR(IF(tblInputSheet[[#This Row],[Latency (ms)]] = "", "", tblInputSheet[[#This Row],[Latency (ms)]]), "")</f>
        <v>0</v>
      </c>
      <c r="S70" s="9">
        <f>IFERROR(SUM(tblDisplaySheet[[#This Row],[DB Calls (ms)]:[Latency (ms)]]), "")</f>
        <v>1</v>
      </c>
      <c r="T70" s="9">
        <f>IFERROR(tblDisplaySheet[[#This Row],[Time of Function / Call]]*tblDisplaySheet[[#This Row],[Count of Invocations]], "")</f>
        <v>1</v>
      </c>
      <c r="U70" s="9">
        <v>251</v>
      </c>
      <c r="V70" s="9">
        <f>IFERROR(IF(tblInputSheet[[#This Row],[Process NFR]] = "", "", tblInputSheet[[#This Row],[Process NFR]]), "")</f>
        <v>1</v>
      </c>
      <c r="W70" s="9">
        <f>tblDisplaySheet[[#This Row],[Process NFR]]*tblDisplaySheet[[#This Row],[Count of Invocations]]</f>
        <v>1</v>
      </c>
      <c r="X70" s="9">
        <v>251</v>
      </c>
      <c r="Y70" s="9">
        <f>tblDisplaySheet[[#This Row],[Total Process Path Length NFR]]-tblDisplaySheet[[#This Row],[Total Process Path Length]]</f>
        <v>0</v>
      </c>
      <c r="Z70" s="9" t="str">
        <f>IF(tblDisplaySheet[[#This Row],[Difference]]&gt;=0, "On Target", "Off Target")</f>
        <v>On Target</v>
      </c>
      <c r="AA70" s="8" t="str">
        <f>IFERROR(IF(tblInputSheet[[#This Row],[Is Leaf ?]] = "-", "", tblInputSheet[[#This Row],[Is Leaf ?]]), "")</f>
        <v>N</v>
      </c>
      <c r="AB70" s="9" t="str">
        <f>IFERROR(IF(tblInputSheet[[#This Row],[Owner]] = "", "", tblInputSheet[[#This Row],[Owner]]), "")</f>
        <v>Alak</v>
      </c>
      <c r="AC70" s="8" t="s">
        <v>20</v>
      </c>
      <c r="AD70" s="9" t="s">
        <v>73</v>
      </c>
    </row>
    <row r="71" spans="1:30" x14ac:dyDescent="0.25">
      <c r="A71" s="9">
        <f>IFERROR(IF(tblInputSheet[[#This Row],[Link]] = "", "", tblInputSheet[[#This Row],[Link]]), "")</f>
        <v>68</v>
      </c>
      <c r="B71" s="9">
        <f>IFERROR(IF(tblInputSheet[[#This Row],[Level]] = "", "", tblInputSheet[[#This Row],[Level]]), "")</f>
        <v>12</v>
      </c>
      <c r="C71" s="9">
        <f>IFERROR(IF(tblInputSheet[[#This Row],[Sl.No]] = "", "", tblInputSheet[[#This Row],[Sl.No]]), "")</f>
        <v>69</v>
      </c>
      <c r="D71" s="9" t="str">
        <f>IFERROR(IF(tblInputSheet[[#This Row],[Group]] = "", "", tblInputSheet[[#This Row],[Group]]), "")</f>
        <v>Service Level - Pricing Engine</v>
      </c>
      <c r="E71" s="9" t="str">
        <f>IFERROR(IF(tblInputSheet[[#This Row],[Process]] = "", "", REPT("*",Display!$B71)&amp;""&amp;tblInputSheet[[#This Row],[Process]]), "")</f>
        <v>************TPL Legacy Module</v>
      </c>
      <c r="F71" s="9" t="str">
        <f>IFERROR(IF(tblInputSheet[[#This Row],[Hosted Platform]] = "", "", tblInputSheet[[#This Row],[Hosted Platform]]), "")</f>
        <v>Legacy BC</v>
      </c>
      <c r="G71" s="9" t="str">
        <f>IFERROR(IF(tblInputSheet[[#This Row],[Provider]] = "-", "", tblInputSheet[[#This Row],[Provider]]), "")</f>
        <v>Claims-Legacy</v>
      </c>
      <c r="H71" s="9" t="str">
        <f>IFERROR(IF(tblInputSheet[[#This Row],[Consumer]] = "-", "", tblInputSheet[[#This Row],[Consumer]]), "")</f>
        <v>Claims-Legacy</v>
      </c>
      <c r="I71" s="9" t="str">
        <f>IFERROR(IF(tblInputSheet[[#This Row],[Integration Pattern]] = "-", "", tblInputSheet[[#This Row],[Integration Pattern]]), "")</f>
        <v>BC Internal</v>
      </c>
      <c r="J71" s="9" t="str">
        <f>IFERROR(IF(tblInputSheet[[#This Row],[Current State]] = "-", "", tblInputSheet[[#This Row],[Current State]]), "")</f>
        <v>Y</v>
      </c>
      <c r="K71" s="9" t="str">
        <f>IFERROR(IF(tblInputSheet[[#This Row],[End State]] = "-", "", tblInputSheet[[#This Row],[End State]]), "")</f>
        <v>Y</v>
      </c>
      <c r="L71" s="9" t="str">
        <f>IFERROR(IF(tblInputSheet[[#This Row],[MVP]] = "-", "", tblInputSheet[[#This Row],[MVP]]), "")</f>
        <v>Y</v>
      </c>
      <c r="M71" s="9" t="str">
        <f>IFERROR(IF(tblInputSheet[[#This Row],[Confidence Factor]] = "-", "", VLOOKUP(tblInputSheet[[#This Row],[Confidence Factor]], tblConfidenceFactor[], 3,FALSE)), "")</f>
        <v>Low</v>
      </c>
      <c r="N71" s="9">
        <f>IFERROR(IF(tblInputSheet[[#This Row],[Count of Invocations]] = "", "", tblInputSheet[[#This Row],[Count of Invocations]]), "")</f>
        <v>1</v>
      </c>
      <c r="O71" s="9">
        <f>IFERROR(IF(tblInputSheet[[#This Row],[DB Calls (ms)]] = "", "", tblInputSheet[[#This Row],[DB Calls (ms)]]), "")</f>
        <v>0</v>
      </c>
      <c r="P71" s="9">
        <f>IFERROR(IF(tblInputSheet[[#This Row],[Logic (ms)]] = "", "", tblInputSheet[[#This Row],[Logic (ms)]]), "")</f>
        <v>225</v>
      </c>
      <c r="Q71" s="9">
        <f>IFERROR(IF(tblInputSheet[[#This Row],[Rules (ms)]] = "", "", tblInputSheet[[#This Row],[Rules (ms)]]), "")</f>
        <v>0</v>
      </c>
      <c r="R71" s="9">
        <f>IFERROR(IF(tblInputSheet[[#This Row],[Latency (ms)]] = "", "", tblInputSheet[[#This Row],[Latency (ms)]]), "")</f>
        <v>25</v>
      </c>
      <c r="S71" s="9">
        <f>IFERROR(SUM(tblDisplaySheet[[#This Row],[DB Calls (ms)]:[Latency (ms)]]), "")</f>
        <v>250</v>
      </c>
      <c r="T71" s="9">
        <f>IFERROR(tblDisplaySheet[[#This Row],[Time of Function / Call]]*tblDisplaySheet[[#This Row],[Count of Invocations]], "")</f>
        <v>250</v>
      </c>
      <c r="U71" s="9">
        <v>250</v>
      </c>
      <c r="V71" s="9">
        <f>IFERROR(IF(tblInputSheet[[#This Row],[Process NFR]] = "", "", tblInputSheet[[#This Row],[Process NFR]]), "")</f>
        <v>250</v>
      </c>
      <c r="W71" s="9">
        <f>tblDisplaySheet[[#This Row],[Process NFR]]*tblDisplaySheet[[#This Row],[Count of Invocations]]</f>
        <v>250</v>
      </c>
      <c r="X71" s="9">
        <v>250</v>
      </c>
      <c r="Y71" s="9">
        <f>tblDisplaySheet[[#This Row],[Total Process Path Length NFR]]-tblDisplaySheet[[#This Row],[Total Process Path Length]]</f>
        <v>0</v>
      </c>
      <c r="Z71" s="9" t="str">
        <f>IF(tblDisplaySheet[[#This Row],[Difference]]&gt;=0, "On Target", "Off Target")</f>
        <v>On Target</v>
      </c>
      <c r="AA71" s="8" t="str">
        <f>IFERROR(IF(tblInputSheet[[#This Row],[Is Leaf ?]] = "-", "", tblInputSheet[[#This Row],[Is Leaf ?]]), "")</f>
        <v>Y</v>
      </c>
      <c r="AB71" s="9" t="str">
        <f>IFERROR(IF(tblInputSheet[[#This Row],[Owner]] = "", "", tblInputSheet[[#This Row],[Owner]]), "")</f>
        <v>Alak</v>
      </c>
      <c r="AC71" s="8" t="s">
        <v>20</v>
      </c>
      <c r="AD71" s="9" t="s">
        <v>73</v>
      </c>
    </row>
    <row r="72" spans="1:30" x14ac:dyDescent="0.25">
      <c r="A72" s="9">
        <f>IFERROR(IF(tblInputSheet[[#This Row],[Link]] = "", "", tblInputSheet[[#This Row],[Link]]), "")</f>
        <v>24</v>
      </c>
      <c r="B72" s="9">
        <f>IFERROR(IF(tblInputSheet[[#This Row],[Level]] = "", "", tblInputSheet[[#This Row],[Level]]), "")</f>
        <v>7</v>
      </c>
      <c r="C72" s="9">
        <f>IFERROR(IF(tblInputSheet[[#This Row],[Sl.No]] = "", "", tblInputSheet[[#This Row],[Sl.No]]), "")</f>
        <v>70</v>
      </c>
      <c r="D72" s="9" t="str">
        <f>IFERROR(IF(tblInputSheet[[#This Row],[Group]] = "", "", tblInputSheet[[#This Row],[Group]]), "")</f>
        <v>Service Level - Accums</v>
      </c>
      <c r="E72" s="9" t="str">
        <f>IFERROR(IF(tblInputSheet[[#This Row],[Process]] = "", "", REPT("*",Display!$B72)&amp;""&amp;tblInputSheet[[#This Row],[Process]]), "")</f>
        <v>*******Accums</v>
      </c>
      <c r="F72" s="9" t="str">
        <f>IFERROR(IF(tblInputSheet[[#This Row],[Hosted Platform]] = "", "", tblInputSheet[[#This Row],[Hosted Platform]]), "")</f>
        <v>Business Process</v>
      </c>
      <c r="G72" s="9" t="str">
        <f>IFERROR(IF(tblInputSheet[[#This Row],[Provider]] = "-", "", tblInputSheet[[#This Row],[Provider]]), "")</f>
        <v>NA</v>
      </c>
      <c r="H72" s="9" t="str">
        <f>IFERROR(IF(tblInputSheet[[#This Row],[Consumer]] = "-", "", tblInputSheet[[#This Row],[Consumer]]), "")</f>
        <v>NA</v>
      </c>
      <c r="I72" s="9" t="str">
        <f>IFERROR(IF(tblInputSheet[[#This Row],[Integration Pattern]] = "-", "", tblInputSheet[[#This Row],[Integration Pattern]]), "")</f>
        <v>Group</v>
      </c>
      <c r="J72" s="9" t="str">
        <f>IFERROR(IF(tblInputSheet[[#This Row],[Current State]] = "-", "", tblInputSheet[[#This Row],[Current State]]), "")</f>
        <v>Y</v>
      </c>
      <c r="K72" s="9" t="str">
        <f>IFERROR(IF(tblInputSheet[[#This Row],[End State]] = "-", "", tblInputSheet[[#This Row],[End State]]), "")</f>
        <v>Y</v>
      </c>
      <c r="L72" s="9" t="str">
        <f>IFERROR(IF(tblInputSheet[[#This Row],[MVP]] = "-", "", tblInputSheet[[#This Row],[MVP]]), "")</f>
        <v>Y</v>
      </c>
      <c r="M72" s="9" t="str">
        <f>IFERROR(IF(tblInputSheet[[#This Row],[Confidence Factor]] = "-", "", VLOOKUP(tblInputSheet[[#This Row],[Confidence Factor]], tblConfidenceFactor[], 3,FALSE)), "")</f>
        <v>Group</v>
      </c>
      <c r="N72" s="9">
        <f>IFERROR(IF(tblInputSheet[[#This Row],[Count of Invocations]] = "", "", tblInputSheet[[#This Row],[Count of Invocations]]), "")</f>
        <v>1</v>
      </c>
      <c r="O72" s="9">
        <f>IFERROR(IF(tblInputSheet[[#This Row],[DB Calls (ms)]] = "", "", tblInputSheet[[#This Row],[DB Calls (ms)]]), "")</f>
        <v>0</v>
      </c>
      <c r="P72" s="9">
        <f>IFERROR(IF(tblInputSheet[[#This Row],[Logic (ms)]] = "", "", tblInputSheet[[#This Row],[Logic (ms)]]), "")</f>
        <v>0</v>
      </c>
      <c r="Q72" s="9">
        <f>IFERROR(IF(tblInputSheet[[#This Row],[Rules (ms)]] = "", "", tblInputSheet[[#This Row],[Rules (ms)]]), "")</f>
        <v>0</v>
      </c>
      <c r="R72" s="9">
        <f>IFERROR(IF(tblInputSheet[[#This Row],[Latency (ms)]] = "", "", tblInputSheet[[#This Row],[Latency (ms)]]), "")</f>
        <v>0</v>
      </c>
      <c r="S72" s="9">
        <f>IFERROR(SUM(tblDisplaySheet[[#This Row],[DB Calls (ms)]:[Latency (ms)]]), "")</f>
        <v>0</v>
      </c>
      <c r="T72" s="9">
        <f>IFERROR(tblDisplaySheet[[#This Row],[Time of Function / Call]]*tblDisplaySheet[[#This Row],[Count of Invocations]], "")</f>
        <v>0</v>
      </c>
      <c r="U72" s="9">
        <v>297</v>
      </c>
      <c r="V72" s="9">
        <f>IFERROR(IF(tblInputSheet[[#This Row],[Process NFR]] = "", "", tblInputSheet[[#This Row],[Process NFR]]), "")</f>
        <v>0</v>
      </c>
      <c r="W72" s="9">
        <f>tblDisplaySheet[[#This Row],[Process NFR]]*tblDisplaySheet[[#This Row],[Count of Invocations]]</f>
        <v>0</v>
      </c>
      <c r="X72" s="9">
        <v>400</v>
      </c>
      <c r="Y72" s="9">
        <f>tblDisplaySheet[[#This Row],[Total Process Path Length NFR]]-tblDisplaySheet[[#This Row],[Total Process Path Length]]</f>
        <v>103</v>
      </c>
      <c r="Z72" s="9" t="str">
        <f>IF(tblDisplaySheet[[#This Row],[Difference]]&gt;=0, "On Target", "Off Target")</f>
        <v>On Target</v>
      </c>
      <c r="AA72" s="8" t="str">
        <f>IFERROR(IF(tblInputSheet[[#This Row],[Is Leaf ?]] = "-", "", tblInputSheet[[#This Row],[Is Leaf ?]]), "")</f>
        <v>G</v>
      </c>
      <c r="AB72" s="9" t="str">
        <f>IFERROR(IF(tblInputSheet[[#This Row],[Owner]] = "", "", tblInputSheet[[#This Row],[Owner]]), "")</f>
        <v>Sankar</v>
      </c>
      <c r="AC72" s="8" t="s">
        <v>73</v>
      </c>
      <c r="AD72" s="9" t="s">
        <v>73</v>
      </c>
    </row>
    <row r="73" spans="1:30" x14ac:dyDescent="0.25">
      <c r="A73" s="9">
        <f>IFERROR(IF(tblInputSheet[[#This Row],[Link]] = "", "", tblInputSheet[[#This Row],[Link]]), "")</f>
        <v>70</v>
      </c>
      <c r="B73" s="9">
        <f>IFERROR(IF(tblInputSheet[[#This Row],[Level]] = "", "", tblInputSheet[[#This Row],[Level]]), "")</f>
        <v>8</v>
      </c>
      <c r="C73" s="9">
        <f>IFERROR(IF(tblInputSheet[[#This Row],[Sl.No]] = "", "", tblInputSheet[[#This Row],[Sl.No]]), "")</f>
        <v>71</v>
      </c>
      <c r="D73" s="9" t="str">
        <f>IFERROR(IF(tblInputSheet[[#This Row],[Group]] = "", "", tblInputSheet[[#This Row],[Group]]), "")</f>
        <v>Service Level - Accums</v>
      </c>
      <c r="E73" s="9" t="str">
        <f>IFERROR(IF(tblInputSheet[[#This Row],[Process]] = "", "", REPT("*",Display!$B73)&amp;""&amp;tblInputSheet[[#This Row],[Process]]), "")</f>
        <v>********Accums Calculation Microservice</v>
      </c>
      <c r="F73" s="9" t="str">
        <f>IFERROR(IF(tblInputSheet[[#This Row],[Hosted Platform]] = "", "", tblInputSheet[[#This Row],[Hosted Platform]]), "")</f>
        <v>PCF</v>
      </c>
      <c r="G73" s="9" t="str">
        <f>IFERROR(IF(tblInputSheet[[#This Row],[Provider]] = "-", "", tblInputSheet[[#This Row],[Provider]]), "")</f>
        <v>Key-Claims Adjudication</v>
      </c>
      <c r="H73" s="9" t="str">
        <f>IFERROR(IF(tblInputSheet[[#This Row],[Consumer]] = "-", "", tblInputSheet[[#This Row],[Consumer]]), "")</f>
        <v>Key-Claims Adjudication</v>
      </c>
      <c r="I73" s="9" t="str">
        <f>IFERROR(IF(tblInputSheet[[#This Row],[Integration Pattern]] = "-", "", tblInputSheet[[#This Row],[Integration Pattern]]), "")</f>
        <v>PCF Internal (C-to-C)</v>
      </c>
      <c r="J73" s="9" t="str">
        <f>IFERROR(IF(tblInputSheet[[#This Row],[Current State]] = "-", "", tblInputSheet[[#This Row],[Current State]]), "")</f>
        <v>Y</v>
      </c>
      <c r="K73" s="9" t="str">
        <f>IFERROR(IF(tblInputSheet[[#This Row],[End State]] = "-", "", tblInputSheet[[#This Row],[End State]]), "")</f>
        <v>Y</v>
      </c>
      <c r="L73" s="9" t="str">
        <f>IFERROR(IF(tblInputSheet[[#This Row],[MVP]] = "-", "", tblInputSheet[[#This Row],[MVP]]), "")</f>
        <v>Y</v>
      </c>
      <c r="M73" s="9" t="str">
        <f>IFERROR(IF(tblInputSheet[[#This Row],[Confidence Factor]] = "-", "", VLOOKUP(tblInputSheet[[#This Row],[Confidence Factor]], tblConfidenceFactor[], 3,FALSE)), "")</f>
        <v>Low</v>
      </c>
      <c r="N73" s="9">
        <f>IFERROR(IF(tblInputSheet[[#This Row],[Count of Invocations]] = "", "", tblInputSheet[[#This Row],[Count of Invocations]]), "")</f>
        <v>1</v>
      </c>
      <c r="O73" s="9">
        <f>IFERROR(IF(tblInputSheet[[#This Row],[DB Calls (ms)]] = "", "", tblInputSheet[[#This Row],[DB Calls (ms)]]), "")</f>
        <v>5</v>
      </c>
      <c r="P73" s="9">
        <f>IFERROR(IF(tblInputSheet[[#This Row],[Logic (ms)]] = "", "", tblInputSheet[[#This Row],[Logic (ms)]]), "")</f>
        <v>100</v>
      </c>
      <c r="Q73" s="9">
        <f>IFERROR(IF(tblInputSheet[[#This Row],[Rules (ms)]] = "", "", tblInputSheet[[#This Row],[Rules (ms)]]), "")</f>
        <v>0</v>
      </c>
      <c r="R73" s="9">
        <f>IFERROR(IF(tblInputSheet[[#This Row],[Latency (ms)]] = "", "", tblInputSheet[[#This Row],[Latency (ms)]]), "")</f>
        <v>5</v>
      </c>
      <c r="S73" s="9">
        <f>IFERROR(SUM(tblDisplaySheet[[#This Row],[DB Calls (ms)]:[Latency (ms)]]), "")</f>
        <v>110</v>
      </c>
      <c r="T73" s="9">
        <f>IFERROR(tblDisplaySheet[[#This Row],[Time of Function / Call]]*tblDisplaySheet[[#This Row],[Count of Invocations]], "")</f>
        <v>110</v>
      </c>
      <c r="U73" s="9">
        <v>177</v>
      </c>
      <c r="V73" s="9">
        <f>IFERROR(IF(tblInputSheet[[#This Row],[Process NFR]] = "", "", tblInputSheet[[#This Row],[Process NFR]]), "")</f>
        <v>140</v>
      </c>
      <c r="W73" s="9">
        <f>tblDisplaySheet[[#This Row],[Process NFR]]*tblDisplaySheet[[#This Row],[Count of Invocations]]</f>
        <v>140</v>
      </c>
      <c r="X73" s="9">
        <v>250</v>
      </c>
      <c r="Y73" s="9">
        <f>tblDisplaySheet[[#This Row],[Total Process Path Length NFR]]-tblDisplaySheet[[#This Row],[Total Process Path Length]]</f>
        <v>73</v>
      </c>
      <c r="Z73" s="9" t="str">
        <f>IF(tblDisplaySheet[[#This Row],[Difference]]&gt;=0, "On Target", "Off Target")</f>
        <v>On Target</v>
      </c>
      <c r="AA73" s="8" t="str">
        <f>IFERROR(IF(tblInputSheet[[#This Row],[Is Leaf ?]] = "-", "", tblInputSheet[[#This Row],[Is Leaf ?]]), "")</f>
        <v>N</v>
      </c>
      <c r="AB73" s="9" t="str">
        <f>IFERROR(IF(tblInputSheet[[#This Row],[Owner]] = "", "", tblInputSheet[[#This Row],[Owner]]), "")</f>
        <v>Sankar</v>
      </c>
      <c r="AC73" s="8" t="s">
        <v>20</v>
      </c>
      <c r="AD73" s="9" t="s">
        <v>20</v>
      </c>
    </row>
    <row r="74" spans="1:30" x14ac:dyDescent="0.25">
      <c r="A74" s="9">
        <f>IFERROR(IF(tblInputSheet[[#This Row],[Link]] = "", "", tblInputSheet[[#This Row],[Link]]), "")</f>
        <v>71</v>
      </c>
      <c r="B74" s="9">
        <f>IFERROR(IF(tblInputSheet[[#This Row],[Level]] = "", "", tblInputSheet[[#This Row],[Level]]), "")</f>
        <v>9</v>
      </c>
      <c r="C74" s="9">
        <f>IFERROR(IF(tblInputSheet[[#This Row],[Sl.No]] = "", "", tblInputSheet[[#This Row],[Sl.No]]), "")</f>
        <v>72</v>
      </c>
      <c r="D74" s="9" t="str">
        <f>IFERROR(IF(tblInputSheet[[#This Row],[Group]] = "", "", tblInputSheet[[#This Row],[Group]]), "")</f>
        <v>Service Level - Accums</v>
      </c>
      <c r="E74" s="9" t="str">
        <f>IFERROR(IF(tblInputSheet[[#This Row],[Process]] = "", "", REPT("*",Display!$B74)&amp;""&amp;tblInputSheet[[#This Row],[Process]]), "")</f>
        <v>*********Contract API</v>
      </c>
      <c r="F74" s="9" t="str">
        <f>IFERROR(IF(tblInputSheet[[#This Row],[Hosted Platform]] = "", "", tblInputSheet[[#This Row],[Hosted Platform]]), "")</f>
        <v>PCF</v>
      </c>
      <c r="G74" s="9" t="str">
        <f>IFERROR(IF(tblInputSheet[[#This Row],[Provider]] = "-", "", tblInputSheet[[#This Row],[Provider]]), "")</f>
        <v>Key-Claims Adjudication</v>
      </c>
      <c r="H74" s="9" t="str">
        <f>IFERROR(IF(tblInputSheet[[#This Row],[Consumer]] = "-", "", tblInputSheet[[#This Row],[Consumer]]), "")</f>
        <v>Key-Claims Adjudication</v>
      </c>
      <c r="I74" s="9" t="str">
        <f>IFERROR(IF(tblInputSheet[[#This Row],[Integration Pattern]] = "-", "", tblInputSheet[[#This Row],[Integration Pattern]]), "")</f>
        <v>PCF Internal (C-to-C)</v>
      </c>
      <c r="J74" s="9" t="str">
        <f>IFERROR(IF(tblInputSheet[[#This Row],[Current State]] = "-", "", tblInputSheet[[#This Row],[Current State]]), "")</f>
        <v>Y</v>
      </c>
      <c r="K74" s="9" t="str">
        <f>IFERROR(IF(tblInputSheet[[#This Row],[End State]] = "-", "", tblInputSheet[[#This Row],[End State]]), "")</f>
        <v>Y</v>
      </c>
      <c r="L74" s="9" t="str">
        <f>IFERROR(IF(tblInputSheet[[#This Row],[MVP]] = "-", "", tblInputSheet[[#This Row],[MVP]]), "")</f>
        <v>Y</v>
      </c>
      <c r="M74" s="9" t="str">
        <f>IFERROR(IF(tblInputSheet[[#This Row],[Confidence Factor]] = "-", "", VLOOKUP(tblInputSheet[[#This Row],[Confidence Factor]], tblConfidenceFactor[], 3,FALSE)), "")</f>
        <v>Medium</v>
      </c>
      <c r="N74" s="9">
        <f>IFERROR(IF(tblInputSheet[[#This Row],[Count of Invocations]] = "", "", tblInputSheet[[#This Row],[Count of Invocations]]), "")</f>
        <v>1</v>
      </c>
      <c r="O74" s="9">
        <f>IFERROR(IF(tblInputSheet[[#This Row],[DB Calls (ms)]] = "", "", tblInputSheet[[#This Row],[DB Calls (ms)]]), "")</f>
        <v>5</v>
      </c>
      <c r="P74" s="9">
        <f>IFERROR(IF(tblInputSheet[[#This Row],[Logic (ms)]] = "", "", tblInputSheet[[#This Row],[Logic (ms)]]), "")</f>
        <v>30</v>
      </c>
      <c r="Q74" s="9">
        <f>IFERROR(IF(tblInputSheet[[#This Row],[Rules (ms)]] = "", "", tblInputSheet[[#This Row],[Rules (ms)]]), "")</f>
        <v>0</v>
      </c>
      <c r="R74" s="9">
        <f>IFERROR(IF(tblInputSheet[[#This Row],[Latency (ms)]] = "", "", tblInputSheet[[#This Row],[Latency (ms)]]), "")</f>
        <v>10</v>
      </c>
      <c r="S74" s="9">
        <f>IFERROR(SUM(tblDisplaySheet[[#This Row],[DB Calls (ms)]:[Latency (ms)]]), "")</f>
        <v>45</v>
      </c>
      <c r="T74" s="9">
        <f>IFERROR(tblDisplaySheet[[#This Row],[Time of Function / Call]]*tblDisplaySheet[[#This Row],[Count of Invocations]], "")</f>
        <v>45</v>
      </c>
      <c r="U74" s="9">
        <v>45</v>
      </c>
      <c r="V74" s="9">
        <f>IFERROR(IF(tblInputSheet[[#This Row],[Process NFR]] = "", "", tblInputSheet[[#This Row],[Process NFR]]), "")</f>
        <v>50</v>
      </c>
      <c r="W74" s="9">
        <f>tblDisplaySheet[[#This Row],[Process NFR]]*tblDisplaySheet[[#This Row],[Count of Invocations]]</f>
        <v>50</v>
      </c>
      <c r="X74" s="9">
        <v>50</v>
      </c>
      <c r="Y74" s="9">
        <f>tblDisplaySheet[[#This Row],[Total Process Path Length NFR]]-tblDisplaySheet[[#This Row],[Total Process Path Length]]</f>
        <v>5</v>
      </c>
      <c r="Z74" s="9" t="str">
        <f>IF(tblDisplaySheet[[#This Row],[Difference]]&gt;=0, "On Target", "Off Target")</f>
        <v>On Target</v>
      </c>
      <c r="AA74" s="8" t="str">
        <f>IFERROR(IF(tblInputSheet[[#This Row],[Is Leaf ?]] = "-", "", tblInputSheet[[#This Row],[Is Leaf ?]]), "")</f>
        <v>Y</v>
      </c>
      <c r="AB74" s="9" t="str">
        <f>IFERROR(IF(tblInputSheet[[#This Row],[Owner]] = "", "", tblInputSheet[[#This Row],[Owner]]), "")</f>
        <v>Greg</v>
      </c>
      <c r="AC74" s="8" t="s">
        <v>20</v>
      </c>
      <c r="AD74" s="9" t="s">
        <v>73</v>
      </c>
    </row>
    <row r="75" spans="1:30" x14ac:dyDescent="0.25">
      <c r="A75" s="9">
        <f>IFERROR(IF(tblInputSheet[[#This Row],[Link]] = "", "", tblInputSheet[[#This Row],[Link]]), "")</f>
        <v>71</v>
      </c>
      <c r="B75" s="9">
        <f>IFERROR(IF(tblInputSheet[[#This Row],[Level]] = "", "", tblInputSheet[[#This Row],[Level]]), "")</f>
        <v>9</v>
      </c>
      <c r="C75" s="9">
        <f>IFERROR(IF(tblInputSheet[[#This Row],[Sl.No]] = "", "", tblInputSheet[[#This Row],[Sl.No]]), "")</f>
        <v>73</v>
      </c>
      <c r="D75" s="9" t="str">
        <f>IFERROR(IF(tblInputSheet[[#This Row],[Group]] = "", "", tblInputSheet[[#This Row],[Group]]), "")</f>
        <v>Service Level - Accums</v>
      </c>
      <c r="E75" s="9" t="str">
        <f>IFERROR(IF(tblInputSheet[[#This Row],[Process]] = "", "", REPT("*",Display!$B75)&amp;""&amp;tblInputSheet[[#This Row],[Process]]), "")</f>
        <v>*********Reference Lookup Microservice</v>
      </c>
      <c r="F75" s="9" t="str">
        <f>IFERROR(IF(tblInputSheet[[#This Row],[Hosted Platform]] = "", "", tblInputSheet[[#This Row],[Hosted Platform]]), "")</f>
        <v>PCF</v>
      </c>
      <c r="G75" s="9" t="str">
        <f>IFERROR(IF(tblInputSheet[[#This Row],[Provider]] = "-", "", tblInputSheet[[#This Row],[Provider]]), "")</f>
        <v>Key-Claims Adjudication</v>
      </c>
      <c r="H75" s="9" t="str">
        <f>IFERROR(IF(tblInputSheet[[#This Row],[Consumer]] = "-", "", tblInputSheet[[#This Row],[Consumer]]), "")</f>
        <v>Key-Claims Adjudication</v>
      </c>
      <c r="I75" s="9" t="str">
        <f>IFERROR(IF(tblInputSheet[[#This Row],[Integration Pattern]] = "-", "", tblInputSheet[[#This Row],[Integration Pattern]]), "")</f>
        <v>PCF Internal (C-to-C)</v>
      </c>
      <c r="J75" s="9" t="str">
        <f>IFERROR(IF(tblInputSheet[[#This Row],[Current State]] = "-", "", tblInputSheet[[#This Row],[Current State]]), "")</f>
        <v>Y</v>
      </c>
      <c r="K75" s="9" t="str">
        <f>IFERROR(IF(tblInputSheet[[#This Row],[End State]] = "-", "", tblInputSheet[[#This Row],[End State]]), "")</f>
        <v>Y</v>
      </c>
      <c r="L75" s="9" t="str">
        <f>IFERROR(IF(tblInputSheet[[#This Row],[MVP]] = "-", "", tblInputSheet[[#This Row],[MVP]]), "")</f>
        <v>Y</v>
      </c>
      <c r="M75" s="9" t="str">
        <f>IFERROR(IF(tblInputSheet[[#This Row],[Confidence Factor]] = "-", "", VLOOKUP(tblInputSheet[[#This Row],[Confidence Factor]], tblConfidenceFactor[], 3,FALSE)), "")</f>
        <v>High</v>
      </c>
      <c r="N75" s="9">
        <f>IFERROR(IF(tblInputSheet[[#This Row],[Count of Invocations]] = "", "", tblInputSheet[[#This Row],[Count of Invocations]]), "")</f>
        <v>2</v>
      </c>
      <c r="O75" s="9">
        <f>IFERROR(IF(tblInputSheet[[#This Row],[DB Calls (ms)]] = "", "", tblInputSheet[[#This Row],[DB Calls (ms)]]), "")</f>
        <v>1</v>
      </c>
      <c r="P75" s="9">
        <f>IFERROR(IF(tblInputSheet[[#This Row],[Logic (ms)]] = "", "", tblInputSheet[[#This Row],[Logic (ms)]]), "")</f>
        <v>5</v>
      </c>
      <c r="Q75" s="9">
        <f>IFERROR(IF(tblInputSheet[[#This Row],[Rules (ms)]] = "", "", tblInputSheet[[#This Row],[Rules (ms)]]), "")</f>
        <v>0</v>
      </c>
      <c r="R75" s="9">
        <f>IFERROR(IF(tblInputSheet[[#This Row],[Latency (ms)]] = "", "", tblInputSheet[[#This Row],[Latency (ms)]]), "")</f>
        <v>5</v>
      </c>
      <c r="S75" s="9">
        <f>IFERROR(SUM(tblDisplaySheet[[#This Row],[DB Calls (ms)]:[Latency (ms)]]), "")</f>
        <v>11</v>
      </c>
      <c r="T75" s="9">
        <f>IFERROR(tblDisplaySheet[[#This Row],[Time of Function / Call]]*tblDisplaySheet[[#This Row],[Count of Invocations]], "")</f>
        <v>22</v>
      </c>
      <c r="U75" s="9">
        <v>22</v>
      </c>
      <c r="V75" s="9">
        <f>IFERROR(IF(tblInputSheet[[#This Row],[Process NFR]] = "", "", tblInputSheet[[#This Row],[Process NFR]]), "")</f>
        <v>30</v>
      </c>
      <c r="W75" s="9">
        <f>tblDisplaySheet[[#This Row],[Process NFR]]*tblDisplaySheet[[#This Row],[Count of Invocations]]</f>
        <v>60</v>
      </c>
      <c r="X75" s="9">
        <v>60</v>
      </c>
      <c r="Y75" s="9">
        <f>tblDisplaySheet[[#This Row],[Total Process Path Length NFR]]-tblDisplaySheet[[#This Row],[Total Process Path Length]]</f>
        <v>38</v>
      </c>
      <c r="Z75" s="9" t="str">
        <f>IF(tblDisplaySheet[[#This Row],[Difference]]&gt;=0, "On Target", "Off Target")</f>
        <v>On Target</v>
      </c>
      <c r="AA75" s="8" t="str">
        <f>IFERROR(IF(tblInputSheet[[#This Row],[Is Leaf ?]] = "-", "", tblInputSheet[[#This Row],[Is Leaf ?]]), "")</f>
        <v>Y</v>
      </c>
      <c r="AB75" s="9" t="str">
        <f>IFERROR(IF(tblInputSheet[[#This Row],[Owner]] = "", "", tblInputSheet[[#This Row],[Owner]]), "")</f>
        <v>Sankar</v>
      </c>
      <c r="AC75" s="8" t="s">
        <v>20</v>
      </c>
      <c r="AD75" s="9" t="s">
        <v>73</v>
      </c>
    </row>
    <row r="76" spans="1:30" x14ac:dyDescent="0.25">
      <c r="A76" s="9">
        <f>IFERROR(IF(tblInputSheet[[#This Row],[Link]] = "", "", tblInputSheet[[#This Row],[Link]]), "")</f>
        <v>70</v>
      </c>
      <c r="B76" s="9">
        <f>IFERROR(IF(tblInputSheet[[#This Row],[Level]] = "", "", tblInputSheet[[#This Row],[Level]]), "")</f>
        <v>8</v>
      </c>
      <c r="C76" s="9">
        <f>IFERROR(IF(tblInputSheet[[#This Row],[Sl.No]] = "", "", tblInputSheet[[#This Row],[Sl.No]]), "")</f>
        <v>74</v>
      </c>
      <c r="D76" s="9" t="str">
        <f>IFERROR(IF(tblInputSheet[[#This Row],[Group]] = "", "", tblInputSheet[[#This Row],[Group]]), "")</f>
        <v>Service Level - Accums</v>
      </c>
      <c r="E76" s="9" t="str">
        <f>IFERROR(IF(tblInputSheet[[#This Row],[Process]] = "", "", REPT("*",Display!$B76)&amp;""&amp;tblInputSheet[[#This Row],[Process]]), "")</f>
        <v>********DME Calculation Microservice</v>
      </c>
      <c r="F76" s="9" t="str">
        <f>IFERROR(IF(tblInputSheet[[#This Row],[Hosted Platform]] = "", "", tblInputSheet[[#This Row],[Hosted Platform]]), "")</f>
        <v>PCF</v>
      </c>
      <c r="G76" s="9" t="str">
        <f>IFERROR(IF(tblInputSheet[[#This Row],[Provider]] = "-", "", tblInputSheet[[#This Row],[Provider]]), "")</f>
        <v>Key-Claims Adjudication</v>
      </c>
      <c r="H76" s="9" t="str">
        <f>IFERROR(IF(tblInputSheet[[#This Row],[Consumer]] = "-", "", tblInputSheet[[#This Row],[Consumer]]), "")</f>
        <v>Key-Claims Adjudication</v>
      </c>
      <c r="I76" s="9" t="str">
        <f>IFERROR(IF(tblInputSheet[[#This Row],[Integration Pattern]] = "-", "", tblInputSheet[[#This Row],[Integration Pattern]]), "")</f>
        <v>PCF Internal (C-to-C)</v>
      </c>
      <c r="J76" s="9" t="str">
        <f>IFERROR(IF(tblInputSheet[[#This Row],[Current State]] = "-", "", tblInputSheet[[#This Row],[Current State]]), "")</f>
        <v>Y</v>
      </c>
      <c r="K76" s="9" t="str">
        <f>IFERROR(IF(tblInputSheet[[#This Row],[End State]] = "-", "", tblInputSheet[[#This Row],[End State]]), "")</f>
        <v>Y</v>
      </c>
      <c r="L76" s="9" t="str">
        <f>IFERROR(IF(tblInputSheet[[#This Row],[MVP]] = "-", "", tblInputSheet[[#This Row],[MVP]]), "")</f>
        <v>Y</v>
      </c>
      <c r="M76" s="9" t="str">
        <f>IFERROR(IF(tblInputSheet[[#This Row],[Confidence Factor]] = "-", "", VLOOKUP(tblInputSheet[[#This Row],[Confidence Factor]], tblConfidenceFactor[], 3,FALSE)), "")</f>
        <v>Low</v>
      </c>
      <c r="N76" s="9">
        <f>IFERROR(IF(tblInputSheet[[#This Row],[Count of Invocations]] = "", "", tblInputSheet[[#This Row],[Count of Invocations]]), "")</f>
        <v>0</v>
      </c>
      <c r="O76" s="9">
        <f>IFERROR(IF(tblInputSheet[[#This Row],[DB Calls (ms)]] = "", "", tblInputSheet[[#This Row],[DB Calls (ms)]]), "")</f>
        <v>5</v>
      </c>
      <c r="P76" s="9">
        <f>IFERROR(IF(tblInputSheet[[#This Row],[Logic (ms)]] = "", "", tblInputSheet[[#This Row],[Logic (ms)]]), "")</f>
        <v>100</v>
      </c>
      <c r="Q76" s="9">
        <f>IFERROR(IF(tblInputSheet[[#This Row],[Rules (ms)]] = "", "", tblInputSheet[[#This Row],[Rules (ms)]]), "")</f>
        <v>0</v>
      </c>
      <c r="R76" s="9">
        <f>IFERROR(IF(tblInputSheet[[#This Row],[Latency (ms)]] = "", "", tblInputSheet[[#This Row],[Latency (ms)]]), "")</f>
        <v>5</v>
      </c>
      <c r="S76" s="9">
        <f>IFERROR(SUM(tblDisplaySheet[[#This Row],[DB Calls (ms)]:[Latency (ms)]]), "")</f>
        <v>110</v>
      </c>
      <c r="T76" s="9">
        <f>IFERROR(tblDisplaySheet[[#This Row],[Time of Function / Call]]*tblDisplaySheet[[#This Row],[Count of Invocations]], "")</f>
        <v>0</v>
      </c>
      <c r="U76" s="9">
        <v>0</v>
      </c>
      <c r="V76" s="9">
        <f>IFERROR(IF(tblInputSheet[[#This Row],[Process NFR]] = "", "", tblInputSheet[[#This Row],[Process NFR]]), "")</f>
        <v>140</v>
      </c>
      <c r="W76" s="9">
        <f>tblDisplaySheet[[#This Row],[Process NFR]]*tblDisplaySheet[[#This Row],[Count of Invocations]]</f>
        <v>0</v>
      </c>
      <c r="X76" s="9">
        <v>0</v>
      </c>
      <c r="Y76" s="9">
        <f>tblDisplaySheet[[#This Row],[Total Process Path Length NFR]]-tblDisplaySheet[[#This Row],[Total Process Path Length]]</f>
        <v>0</v>
      </c>
      <c r="Z76" s="9" t="str">
        <f>IF(tblDisplaySheet[[#This Row],[Difference]]&gt;=0, "On Target", "Off Target")</f>
        <v>On Target</v>
      </c>
      <c r="AA76" s="8" t="str">
        <f>IFERROR(IF(tblInputSheet[[#This Row],[Is Leaf ?]] = "-", "", tblInputSheet[[#This Row],[Is Leaf ?]]), "")</f>
        <v>N</v>
      </c>
      <c r="AB76" s="9" t="str">
        <f>IFERROR(IF(tblInputSheet[[#This Row],[Owner]] = "", "", tblInputSheet[[#This Row],[Owner]]), "")</f>
        <v>Sankar</v>
      </c>
      <c r="AC76" s="8" t="s">
        <v>20</v>
      </c>
      <c r="AD76" s="9" t="s">
        <v>73</v>
      </c>
    </row>
    <row r="77" spans="1:30" x14ac:dyDescent="0.25">
      <c r="A77" s="9">
        <f>IFERROR(IF(tblInputSheet[[#This Row],[Link]] = "", "", tblInputSheet[[#This Row],[Link]]), "")</f>
        <v>74</v>
      </c>
      <c r="B77" s="9">
        <f>IFERROR(IF(tblInputSheet[[#This Row],[Level]] = "", "", tblInputSheet[[#This Row],[Level]]), "")</f>
        <v>9</v>
      </c>
      <c r="C77" s="9">
        <f>IFERROR(IF(tblInputSheet[[#This Row],[Sl.No]] = "", "", tblInputSheet[[#This Row],[Sl.No]]), "")</f>
        <v>75</v>
      </c>
      <c r="D77" s="9" t="str">
        <f>IFERROR(IF(tblInputSheet[[#This Row],[Group]] = "", "", tblInputSheet[[#This Row],[Group]]), "")</f>
        <v>Service Level - Accums</v>
      </c>
      <c r="E77" s="9" t="str">
        <f>IFERROR(IF(tblInputSheet[[#This Row],[Process]] = "", "", REPT("*",Display!$B77)&amp;""&amp;tblInputSheet[[#This Row],[Process]]), "")</f>
        <v>*********Contract API</v>
      </c>
      <c r="F77" s="9" t="str">
        <f>IFERROR(IF(tblInputSheet[[#This Row],[Hosted Platform]] = "", "", tblInputSheet[[#This Row],[Hosted Platform]]), "")</f>
        <v>PCF</v>
      </c>
      <c r="G77" s="9" t="str">
        <f>IFERROR(IF(tblInputSheet[[#This Row],[Provider]] = "-", "", tblInputSheet[[#This Row],[Provider]]), "")</f>
        <v>Key-Claims Adjudication</v>
      </c>
      <c r="H77" s="9" t="str">
        <f>IFERROR(IF(tblInputSheet[[#This Row],[Consumer]] = "-", "", tblInputSheet[[#This Row],[Consumer]]), "")</f>
        <v>Key-Claims Adjudication</v>
      </c>
      <c r="I77" s="9" t="str">
        <f>IFERROR(IF(tblInputSheet[[#This Row],[Integration Pattern]] = "-", "", tblInputSheet[[#This Row],[Integration Pattern]]), "")</f>
        <v>PCF Internal (C-to-C)</v>
      </c>
      <c r="J77" s="9" t="str">
        <f>IFERROR(IF(tblInputSheet[[#This Row],[Current State]] = "-", "", tblInputSheet[[#This Row],[Current State]]), "")</f>
        <v>Y</v>
      </c>
      <c r="K77" s="9" t="str">
        <f>IFERROR(IF(tblInputSheet[[#This Row],[End State]] = "-", "", tblInputSheet[[#This Row],[End State]]), "")</f>
        <v>Y</v>
      </c>
      <c r="L77" s="9" t="str">
        <f>IFERROR(IF(tblInputSheet[[#This Row],[MVP]] = "-", "", tblInputSheet[[#This Row],[MVP]]), "")</f>
        <v>Y</v>
      </c>
      <c r="M77" s="9" t="str">
        <f>IFERROR(IF(tblInputSheet[[#This Row],[Confidence Factor]] = "-", "", VLOOKUP(tblInputSheet[[#This Row],[Confidence Factor]], tblConfidenceFactor[], 3,FALSE)), "")</f>
        <v>Medium</v>
      </c>
      <c r="N77" s="9">
        <f>IFERROR(IF(tblInputSheet[[#This Row],[Count of Invocations]] = "", "", tblInputSheet[[#This Row],[Count of Invocations]]), "")</f>
        <v>0</v>
      </c>
      <c r="O77" s="9">
        <f>IFERROR(IF(tblInputSheet[[#This Row],[DB Calls (ms)]] = "", "", tblInputSheet[[#This Row],[DB Calls (ms)]]), "")</f>
        <v>5</v>
      </c>
      <c r="P77" s="9">
        <f>IFERROR(IF(tblInputSheet[[#This Row],[Logic (ms)]] = "", "", tblInputSheet[[#This Row],[Logic (ms)]]), "")</f>
        <v>30</v>
      </c>
      <c r="Q77" s="9">
        <f>IFERROR(IF(tblInputSheet[[#This Row],[Rules (ms)]] = "", "", tblInputSheet[[#This Row],[Rules (ms)]]), "")</f>
        <v>0</v>
      </c>
      <c r="R77" s="9">
        <f>IFERROR(IF(tblInputSheet[[#This Row],[Latency (ms)]] = "", "", tblInputSheet[[#This Row],[Latency (ms)]]), "")</f>
        <v>10</v>
      </c>
      <c r="S77" s="9">
        <f>IFERROR(SUM(tblDisplaySheet[[#This Row],[DB Calls (ms)]:[Latency (ms)]]), "")</f>
        <v>45</v>
      </c>
      <c r="T77" s="9">
        <f>IFERROR(tblDisplaySheet[[#This Row],[Time of Function / Call]]*tblDisplaySheet[[#This Row],[Count of Invocations]], "")</f>
        <v>0</v>
      </c>
      <c r="U77" s="9">
        <v>0</v>
      </c>
      <c r="V77" s="9">
        <f>IFERROR(IF(tblInputSheet[[#This Row],[Process NFR]] = "", "", tblInputSheet[[#This Row],[Process NFR]]), "")</f>
        <v>50</v>
      </c>
      <c r="W77" s="9">
        <f>tblDisplaySheet[[#This Row],[Process NFR]]*tblDisplaySheet[[#This Row],[Count of Invocations]]</f>
        <v>0</v>
      </c>
      <c r="X77" s="9">
        <v>0</v>
      </c>
      <c r="Y77" s="9">
        <f>tblDisplaySheet[[#This Row],[Total Process Path Length NFR]]-tblDisplaySheet[[#This Row],[Total Process Path Length]]</f>
        <v>0</v>
      </c>
      <c r="Z77" s="9" t="str">
        <f>IF(tblDisplaySheet[[#This Row],[Difference]]&gt;=0, "On Target", "Off Target")</f>
        <v>On Target</v>
      </c>
      <c r="AA77" s="8" t="str">
        <f>IFERROR(IF(tblInputSheet[[#This Row],[Is Leaf ?]] = "-", "", tblInputSheet[[#This Row],[Is Leaf ?]]), "")</f>
        <v>Y</v>
      </c>
      <c r="AB77" s="9" t="str">
        <f>IFERROR(IF(tblInputSheet[[#This Row],[Owner]] = "", "", tblInputSheet[[#This Row],[Owner]]), "")</f>
        <v>Greg</v>
      </c>
      <c r="AC77" s="8" t="s">
        <v>20</v>
      </c>
      <c r="AD77" s="9" t="s">
        <v>73</v>
      </c>
    </row>
    <row r="78" spans="1:30" x14ac:dyDescent="0.25">
      <c r="A78" s="9">
        <f>IFERROR(IF(tblInputSheet[[#This Row],[Link]] = "", "", tblInputSheet[[#This Row],[Link]]), "")</f>
        <v>74</v>
      </c>
      <c r="B78" s="9">
        <f>IFERROR(IF(tblInputSheet[[#This Row],[Level]] = "", "", tblInputSheet[[#This Row],[Level]]), "")</f>
        <v>9</v>
      </c>
      <c r="C78" s="9">
        <f>IFERROR(IF(tblInputSheet[[#This Row],[Sl.No]] = "", "", tblInputSheet[[#This Row],[Sl.No]]), "")</f>
        <v>76</v>
      </c>
      <c r="D78" s="9" t="str">
        <f>IFERROR(IF(tblInputSheet[[#This Row],[Group]] = "", "", tblInputSheet[[#This Row],[Group]]), "")</f>
        <v>Service Level - Accums</v>
      </c>
      <c r="E78" s="9" t="str">
        <f>IFERROR(IF(tblInputSheet[[#This Row],[Process]] = "", "", REPT("*",Display!$B78)&amp;""&amp;tblInputSheet[[#This Row],[Process]]), "")</f>
        <v>*********Reference Lookup Microservice</v>
      </c>
      <c r="F78" s="9" t="str">
        <f>IFERROR(IF(tblInputSheet[[#This Row],[Hosted Platform]] = "", "", tblInputSheet[[#This Row],[Hosted Platform]]), "")</f>
        <v>PCF</v>
      </c>
      <c r="G78" s="9" t="str">
        <f>IFERROR(IF(tblInputSheet[[#This Row],[Provider]] = "-", "", tblInputSheet[[#This Row],[Provider]]), "")</f>
        <v>Key-Claims Adjudication</v>
      </c>
      <c r="H78" s="9" t="str">
        <f>IFERROR(IF(tblInputSheet[[#This Row],[Consumer]] = "-", "", tblInputSheet[[#This Row],[Consumer]]), "")</f>
        <v>Key-Claims Adjudication</v>
      </c>
      <c r="I78" s="9" t="str">
        <f>IFERROR(IF(tblInputSheet[[#This Row],[Integration Pattern]] = "-", "", tblInputSheet[[#This Row],[Integration Pattern]]), "")</f>
        <v>PCF Internal (C-to-C)</v>
      </c>
      <c r="J78" s="9" t="str">
        <f>IFERROR(IF(tblInputSheet[[#This Row],[Current State]] = "-", "", tblInputSheet[[#This Row],[Current State]]), "")</f>
        <v>Y</v>
      </c>
      <c r="K78" s="9" t="str">
        <f>IFERROR(IF(tblInputSheet[[#This Row],[End State]] = "-", "", tblInputSheet[[#This Row],[End State]]), "")</f>
        <v>Y</v>
      </c>
      <c r="L78" s="9" t="str">
        <f>IFERROR(IF(tblInputSheet[[#This Row],[MVP]] = "-", "", tblInputSheet[[#This Row],[MVP]]), "")</f>
        <v>Y</v>
      </c>
      <c r="M78" s="9" t="str">
        <f>IFERROR(IF(tblInputSheet[[#This Row],[Confidence Factor]] = "-", "", VLOOKUP(tblInputSheet[[#This Row],[Confidence Factor]], tblConfidenceFactor[], 3,FALSE)), "")</f>
        <v>High</v>
      </c>
      <c r="N78" s="9">
        <f>IFERROR(IF(tblInputSheet[[#This Row],[Count of Invocations]] = "", "", tblInputSheet[[#This Row],[Count of Invocations]]), "")</f>
        <v>0</v>
      </c>
      <c r="O78" s="9">
        <f>IFERROR(IF(tblInputSheet[[#This Row],[DB Calls (ms)]] = "", "", tblInputSheet[[#This Row],[DB Calls (ms)]]), "")</f>
        <v>1</v>
      </c>
      <c r="P78" s="9">
        <f>IFERROR(IF(tblInputSheet[[#This Row],[Logic (ms)]] = "", "", tblInputSheet[[#This Row],[Logic (ms)]]), "")</f>
        <v>5</v>
      </c>
      <c r="Q78" s="9">
        <f>IFERROR(IF(tblInputSheet[[#This Row],[Rules (ms)]] = "", "", tblInputSheet[[#This Row],[Rules (ms)]]), "")</f>
        <v>0</v>
      </c>
      <c r="R78" s="9">
        <f>IFERROR(IF(tblInputSheet[[#This Row],[Latency (ms)]] = "", "", tblInputSheet[[#This Row],[Latency (ms)]]), "")</f>
        <v>5</v>
      </c>
      <c r="S78" s="9">
        <f>IFERROR(SUM(tblDisplaySheet[[#This Row],[DB Calls (ms)]:[Latency (ms)]]), "")</f>
        <v>11</v>
      </c>
      <c r="T78" s="9">
        <f>IFERROR(tblDisplaySheet[[#This Row],[Time of Function / Call]]*tblDisplaySheet[[#This Row],[Count of Invocations]], "")</f>
        <v>0</v>
      </c>
      <c r="U78" s="9">
        <v>0</v>
      </c>
      <c r="V78" s="9">
        <f>IFERROR(IF(tblInputSheet[[#This Row],[Process NFR]] = "", "", tblInputSheet[[#This Row],[Process NFR]]), "")</f>
        <v>30</v>
      </c>
      <c r="W78" s="9">
        <f>tblDisplaySheet[[#This Row],[Process NFR]]*tblDisplaySheet[[#This Row],[Count of Invocations]]</f>
        <v>0</v>
      </c>
      <c r="X78" s="9">
        <v>0</v>
      </c>
      <c r="Y78" s="9">
        <f>tblDisplaySheet[[#This Row],[Total Process Path Length NFR]]-tblDisplaySheet[[#This Row],[Total Process Path Length]]</f>
        <v>0</v>
      </c>
      <c r="Z78" s="9" t="str">
        <f>IF(tblDisplaySheet[[#This Row],[Difference]]&gt;=0, "On Target", "Off Target")</f>
        <v>On Target</v>
      </c>
      <c r="AA78" s="8" t="str">
        <f>IFERROR(IF(tblInputSheet[[#This Row],[Is Leaf ?]] = "-", "", tblInputSheet[[#This Row],[Is Leaf ?]]), "")</f>
        <v>Y</v>
      </c>
      <c r="AB78" s="9" t="str">
        <f>IFERROR(IF(tblInputSheet[[#This Row],[Owner]] = "", "", tblInputSheet[[#This Row],[Owner]]), "")</f>
        <v>Sankar</v>
      </c>
      <c r="AC78" s="8" t="s">
        <v>20</v>
      </c>
      <c r="AD78" s="9" t="s">
        <v>73</v>
      </c>
    </row>
    <row r="79" spans="1:30" x14ac:dyDescent="0.25">
      <c r="A79" s="9">
        <f>IFERROR(IF(tblInputSheet[[#This Row],[Link]] = "", "", tblInputSheet[[#This Row],[Link]]), "")</f>
        <v>70</v>
      </c>
      <c r="B79" s="9">
        <f>IFERROR(IF(tblInputSheet[[#This Row],[Level]] = "", "", tblInputSheet[[#This Row],[Level]]), "")</f>
        <v>8</v>
      </c>
      <c r="C79" s="9">
        <f>IFERROR(IF(tblInputSheet[[#This Row],[Sl.No]] = "", "", tblInputSheet[[#This Row],[Sl.No]]), "")</f>
        <v>77</v>
      </c>
      <c r="D79" s="9" t="str">
        <f>IFERROR(IF(tblInputSheet[[#This Row],[Group]] = "", "", tblInputSheet[[#This Row],[Group]]), "")</f>
        <v>Service Level - Accums</v>
      </c>
      <c r="E79" s="9" t="str">
        <f>IFERROR(IF(tblInputSheet[[#This Row],[Process]] = "", "", REPT("*",Display!$B79)&amp;""&amp;tblInputSheet[[#This Row],[Process]]), "")</f>
        <v>********Accums Utilization Inquiry Microservice</v>
      </c>
      <c r="F79" s="9" t="str">
        <f>IFERROR(IF(tblInputSheet[[#This Row],[Hosted Platform]] = "", "", tblInputSheet[[#This Row],[Hosted Platform]]), "")</f>
        <v>PCF</v>
      </c>
      <c r="G79" s="9" t="str">
        <f>IFERROR(IF(tblInputSheet[[#This Row],[Provider]] = "-", "", tblInputSheet[[#This Row],[Provider]]), "")</f>
        <v>Key-Claims Adjudication</v>
      </c>
      <c r="H79" s="9" t="str">
        <f>IFERROR(IF(tblInputSheet[[#This Row],[Consumer]] = "-", "", tblInputSheet[[#This Row],[Consumer]]), "")</f>
        <v>Key-Claims Adjudication</v>
      </c>
      <c r="I79" s="9" t="str">
        <f>IFERROR(IF(tblInputSheet[[#This Row],[Integration Pattern]] = "-", "", tblInputSheet[[#This Row],[Integration Pattern]]), "")</f>
        <v>PCF Internal (C-to-C)</v>
      </c>
      <c r="J79" s="9" t="str">
        <f>IFERROR(IF(tblInputSheet[[#This Row],[Current State]] = "-", "", tblInputSheet[[#This Row],[Current State]]), "")</f>
        <v>Y</v>
      </c>
      <c r="K79" s="9" t="str">
        <f>IFERROR(IF(tblInputSheet[[#This Row],[End State]] = "-", "", tblInputSheet[[#This Row],[End State]]), "")</f>
        <v>Y</v>
      </c>
      <c r="L79" s="9" t="str">
        <f>IFERROR(IF(tblInputSheet[[#This Row],[MVP]] = "-", "", tblInputSheet[[#This Row],[MVP]]), "")</f>
        <v>Y</v>
      </c>
      <c r="M79" s="9" t="str">
        <f>IFERROR(IF(tblInputSheet[[#This Row],[Confidence Factor]] = "-", "", VLOOKUP(tblInputSheet[[#This Row],[Confidence Factor]], tblConfidenceFactor[], 3,FALSE)), "")</f>
        <v>Low</v>
      </c>
      <c r="N79" s="9">
        <f>IFERROR(IF(tblInputSheet[[#This Row],[Count of Invocations]] = "", "", tblInputSheet[[#This Row],[Count of Invocations]]), "")</f>
        <v>1</v>
      </c>
      <c r="O79" s="9">
        <f>IFERROR(IF(tblInputSheet[[#This Row],[DB Calls (ms)]] = "", "", tblInputSheet[[#This Row],[DB Calls (ms)]]), "")</f>
        <v>5</v>
      </c>
      <c r="P79" s="9">
        <f>IFERROR(IF(tblInputSheet[[#This Row],[Logic (ms)]] = "", "", tblInputSheet[[#This Row],[Logic (ms)]]), "")</f>
        <v>30</v>
      </c>
      <c r="Q79" s="9">
        <f>IFERROR(IF(tblInputSheet[[#This Row],[Rules (ms)]] = "", "", tblInputSheet[[#This Row],[Rules (ms)]]), "")</f>
        <v>0</v>
      </c>
      <c r="R79" s="9">
        <f>IFERROR(IF(tblInputSheet[[#This Row],[Latency (ms)]] = "", "", tblInputSheet[[#This Row],[Latency (ms)]]), "")</f>
        <v>5</v>
      </c>
      <c r="S79" s="9">
        <f>IFERROR(SUM(tblDisplaySheet[[#This Row],[DB Calls (ms)]:[Latency (ms)]]), "")</f>
        <v>40</v>
      </c>
      <c r="T79" s="9">
        <f>IFERROR(tblDisplaySheet[[#This Row],[Time of Function / Call]]*tblDisplaySheet[[#This Row],[Count of Invocations]], "")</f>
        <v>40</v>
      </c>
      <c r="U79" s="9">
        <v>40</v>
      </c>
      <c r="V79" s="9">
        <f>IFERROR(IF(tblInputSheet[[#This Row],[Process NFR]] = "", "", tblInputSheet[[#This Row],[Process NFR]]), "")</f>
        <v>50</v>
      </c>
      <c r="W79" s="9">
        <f>tblDisplaySheet[[#This Row],[Process NFR]]*tblDisplaySheet[[#This Row],[Count of Invocations]]</f>
        <v>50</v>
      </c>
      <c r="X79" s="9">
        <v>50</v>
      </c>
      <c r="Y79" s="9">
        <f>tblDisplaySheet[[#This Row],[Total Process Path Length NFR]]-tblDisplaySheet[[#This Row],[Total Process Path Length]]</f>
        <v>10</v>
      </c>
      <c r="Z79" s="9" t="str">
        <f>IF(tblDisplaySheet[[#This Row],[Difference]]&gt;=0, "On Target", "Off Target")</f>
        <v>On Target</v>
      </c>
      <c r="AA79" s="8" t="str">
        <f>IFERROR(IF(tblInputSheet[[#This Row],[Is Leaf ?]] = "-", "", tblInputSheet[[#This Row],[Is Leaf ?]]), "")</f>
        <v>Y</v>
      </c>
      <c r="AB79" s="9" t="str">
        <f>IFERROR(IF(tblInputSheet[[#This Row],[Owner]] = "", "", tblInputSheet[[#This Row],[Owner]]), "")</f>
        <v>Sankar</v>
      </c>
      <c r="AC79" s="8" t="s">
        <v>20</v>
      </c>
      <c r="AD79" s="9" t="s">
        <v>73</v>
      </c>
    </row>
    <row r="80" spans="1:30" x14ac:dyDescent="0.25">
      <c r="A80" s="9">
        <f>IFERROR(IF(tblInputSheet[[#This Row],[Link]] = "", "", tblInputSheet[[#This Row],[Link]]), "")</f>
        <v>70</v>
      </c>
      <c r="B80" s="9">
        <f>IFERROR(IF(tblInputSheet[[#This Row],[Level]] = "", "", tblInputSheet[[#This Row],[Level]]), "")</f>
        <v>8</v>
      </c>
      <c r="C80" s="9">
        <f>IFERROR(IF(tblInputSheet[[#This Row],[Sl.No]] = "", "", tblInputSheet[[#This Row],[Sl.No]]), "")</f>
        <v>78</v>
      </c>
      <c r="D80" s="9" t="str">
        <f>IFERROR(IF(tblInputSheet[[#This Row],[Group]] = "", "", tblInputSheet[[#This Row],[Group]]), "")</f>
        <v>Service Level - Accums</v>
      </c>
      <c r="E80" s="9" t="str">
        <f>IFERROR(IF(tblInputSheet[[#This Row],[Process]] = "", "", REPT("*",Display!$B80)&amp;""&amp;tblInputSheet[[#This Row],[Process]]), "")</f>
        <v>********Accums Utilization Microservice</v>
      </c>
      <c r="F80" s="9" t="str">
        <f>IFERROR(IF(tblInputSheet[[#This Row],[Hosted Platform]] = "", "", tblInputSheet[[#This Row],[Hosted Platform]]), "")</f>
        <v>PCF</v>
      </c>
      <c r="G80" s="9" t="str">
        <f>IFERROR(IF(tblInputSheet[[#This Row],[Provider]] = "-", "", tblInputSheet[[#This Row],[Provider]]), "")</f>
        <v>Key-Claims Adjudication</v>
      </c>
      <c r="H80" s="9" t="str">
        <f>IFERROR(IF(tblInputSheet[[#This Row],[Consumer]] = "-", "", tblInputSheet[[#This Row],[Consumer]]), "")</f>
        <v>Key-Claims Adjudication</v>
      </c>
      <c r="I80" s="9" t="str">
        <f>IFERROR(IF(tblInputSheet[[#This Row],[Integration Pattern]] = "-", "", tblInputSheet[[#This Row],[Integration Pattern]]), "")</f>
        <v>PCF Internal (C-to-C)</v>
      </c>
      <c r="J80" s="9" t="str">
        <f>IFERROR(IF(tblInputSheet[[#This Row],[Current State]] = "-", "", tblInputSheet[[#This Row],[Current State]]), "")</f>
        <v>Y</v>
      </c>
      <c r="K80" s="9" t="str">
        <f>IFERROR(IF(tblInputSheet[[#This Row],[End State]] = "-", "", tblInputSheet[[#This Row],[End State]]), "")</f>
        <v>Y</v>
      </c>
      <c r="L80" s="9" t="str">
        <f>IFERROR(IF(tblInputSheet[[#This Row],[MVP]] = "-", "", tblInputSheet[[#This Row],[MVP]]), "")</f>
        <v>Y</v>
      </c>
      <c r="M80" s="9" t="str">
        <f>IFERROR(IF(tblInputSheet[[#This Row],[Confidence Factor]] = "-", "", VLOOKUP(tblInputSheet[[#This Row],[Confidence Factor]], tblConfidenceFactor[], 3,FALSE)), "")</f>
        <v>Low</v>
      </c>
      <c r="N80" s="9">
        <f>IFERROR(IF(tblInputSheet[[#This Row],[Count of Invocations]] = "", "", tblInputSheet[[#This Row],[Count of Invocations]]), "")</f>
        <v>1</v>
      </c>
      <c r="O80" s="9">
        <f>IFERROR(IF(tblInputSheet[[#This Row],[DB Calls (ms)]] = "", "", tblInputSheet[[#This Row],[DB Calls (ms)]]), "")</f>
        <v>5</v>
      </c>
      <c r="P80" s="9">
        <f>IFERROR(IF(tblInputSheet[[#This Row],[Logic (ms)]] = "", "", tblInputSheet[[#This Row],[Logic (ms)]]), "")</f>
        <v>30</v>
      </c>
      <c r="Q80" s="9">
        <f>IFERROR(IF(tblInputSheet[[#This Row],[Rules (ms)]] = "", "", tblInputSheet[[#This Row],[Rules (ms)]]), "")</f>
        <v>0</v>
      </c>
      <c r="R80" s="9">
        <f>IFERROR(IF(tblInputSheet[[#This Row],[Latency (ms)]] = "", "", tblInputSheet[[#This Row],[Latency (ms)]]), "")</f>
        <v>5</v>
      </c>
      <c r="S80" s="9">
        <f>IFERROR(SUM(tblDisplaySheet[[#This Row],[DB Calls (ms)]:[Latency (ms)]]), "")</f>
        <v>40</v>
      </c>
      <c r="T80" s="9">
        <f>IFERROR(tblDisplaySheet[[#This Row],[Time of Function / Call]]*tblDisplaySheet[[#This Row],[Count of Invocations]], "")</f>
        <v>40</v>
      </c>
      <c r="U80" s="9">
        <v>40</v>
      </c>
      <c r="V80" s="9">
        <f>IFERROR(IF(tblInputSheet[[#This Row],[Process NFR]] = "", "", tblInputSheet[[#This Row],[Process NFR]]), "")</f>
        <v>50</v>
      </c>
      <c r="W80" s="9">
        <f>tblDisplaySheet[[#This Row],[Process NFR]]*tblDisplaySheet[[#This Row],[Count of Invocations]]</f>
        <v>50</v>
      </c>
      <c r="X80" s="9">
        <v>50</v>
      </c>
      <c r="Y80" s="9">
        <f>tblDisplaySheet[[#This Row],[Total Process Path Length NFR]]-tblDisplaySheet[[#This Row],[Total Process Path Length]]</f>
        <v>10</v>
      </c>
      <c r="Z80" s="9" t="str">
        <f>IF(tblDisplaySheet[[#This Row],[Difference]]&gt;=0, "On Target", "Off Target")</f>
        <v>On Target</v>
      </c>
      <c r="AA80" s="8" t="str">
        <f>IFERROR(IF(tblInputSheet[[#This Row],[Is Leaf ?]] = "-", "", tblInputSheet[[#This Row],[Is Leaf ?]]), "")</f>
        <v>Y</v>
      </c>
      <c r="AB80" s="9" t="str">
        <f>IFERROR(IF(tblInputSheet[[#This Row],[Owner]] = "", "", tblInputSheet[[#This Row],[Owner]]), "")</f>
        <v>Sankar</v>
      </c>
      <c r="AC80" s="8" t="s">
        <v>20</v>
      </c>
      <c r="AD80" s="9"/>
    </row>
    <row r="81" spans="1:30" x14ac:dyDescent="0.25">
      <c r="A81" s="9">
        <f>IFERROR(IF(tblInputSheet[[#This Row],[Link]] = "", "", tblInputSheet[[#This Row],[Link]]), "")</f>
        <v>70</v>
      </c>
      <c r="B81" s="9">
        <f>IFERROR(IF(tblInputSheet[[#This Row],[Level]] = "", "", tblInputSheet[[#This Row],[Level]]), "")</f>
        <v>8</v>
      </c>
      <c r="C81" s="9">
        <f>IFERROR(IF(tblInputSheet[[#This Row],[Sl.No]] = "", "", tblInputSheet[[#This Row],[Sl.No]]), "")</f>
        <v>79</v>
      </c>
      <c r="D81" s="9" t="str">
        <f>IFERROR(IF(tblInputSheet[[#This Row],[Group]] = "", "", tblInputSheet[[#This Row],[Group]]), "")</f>
        <v>Service Level - Accums</v>
      </c>
      <c r="E81" s="9" t="str">
        <f>IFERROR(IF(tblInputSheet[[#This Row],[Process]] = "", "", REPT("*",Display!$B81)&amp;""&amp;tblInputSheet[[#This Row],[Process]]), "")</f>
        <v>********Accums ID Lookup Service</v>
      </c>
      <c r="F81" s="9" t="str">
        <f>IFERROR(IF(tblInputSheet[[#This Row],[Hosted Platform]] = "", "", tblInputSheet[[#This Row],[Hosted Platform]]), "")</f>
        <v>PCF</v>
      </c>
      <c r="G81" s="9" t="str">
        <f>IFERROR(IF(tblInputSheet[[#This Row],[Provider]] = "-", "", tblInputSheet[[#This Row],[Provider]]), "")</f>
        <v>Key-Claims Adjudication</v>
      </c>
      <c r="H81" s="9" t="str">
        <f>IFERROR(IF(tblInputSheet[[#This Row],[Consumer]] = "-", "", tblInputSheet[[#This Row],[Consumer]]), "")</f>
        <v>Key-Claims Adjudication</v>
      </c>
      <c r="I81" s="9" t="str">
        <f>IFERROR(IF(tblInputSheet[[#This Row],[Integration Pattern]] = "-", "", tblInputSheet[[#This Row],[Integration Pattern]]), "")</f>
        <v>PCF Internal (C-to-C)</v>
      </c>
      <c r="J81" s="9" t="str">
        <f>IFERROR(IF(tblInputSheet[[#This Row],[Current State]] = "-", "", tblInputSheet[[#This Row],[Current State]]), "")</f>
        <v>Y</v>
      </c>
      <c r="K81" s="9" t="str">
        <f>IFERROR(IF(tblInputSheet[[#This Row],[End State]] = "-", "", tblInputSheet[[#This Row],[End State]]), "")</f>
        <v>Y</v>
      </c>
      <c r="L81" s="9" t="str">
        <f>IFERROR(IF(tblInputSheet[[#This Row],[MVP]] = "-", "", tblInputSheet[[#This Row],[MVP]]), "")</f>
        <v>Y</v>
      </c>
      <c r="M81" s="9" t="str">
        <f>IFERROR(IF(tblInputSheet[[#This Row],[Confidence Factor]] = "-", "", VLOOKUP(tblInputSheet[[#This Row],[Confidence Factor]], tblConfidenceFactor[], 3,FALSE)), "")</f>
        <v>Low</v>
      </c>
      <c r="N81" s="9">
        <f>IFERROR(IF(tblInputSheet[[#This Row],[Count of Invocations]] = "", "", tblInputSheet[[#This Row],[Count of Invocations]]), "")</f>
        <v>1</v>
      </c>
      <c r="O81" s="9">
        <f>IFERROR(IF(tblInputSheet[[#This Row],[DB Calls (ms)]] = "", "", tblInputSheet[[#This Row],[DB Calls (ms)]]), "")</f>
        <v>5</v>
      </c>
      <c r="P81" s="9">
        <f>IFERROR(IF(tblInputSheet[[#This Row],[Logic (ms)]] = "", "", tblInputSheet[[#This Row],[Logic (ms)]]), "")</f>
        <v>30</v>
      </c>
      <c r="Q81" s="9">
        <f>IFERROR(IF(tblInputSheet[[#This Row],[Rules (ms)]] = "", "", tblInputSheet[[#This Row],[Rules (ms)]]), "")</f>
        <v>0</v>
      </c>
      <c r="R81" s="9">
        <f>IFERROR(IF(tblInputSheet[[#This Row],[Latency (ms)]] = "", "", tblInputSheet[[#This Row],[Latency (ms)]]), "")</f>
        <v>5</v>
      </c>
      <c r="S81" s="9">
        <f>IFERROR(SUM(tblDisplaySheet[[#This Row],[DB Calls (ms)]:[Latency (ms)]]), "")</f>
        <v>40</v>
      </c>
      <c r="T81" s="9">
        <f>IFERROR(tblDisplaySheet[[#This Row],[Time of Function / Call]]*tblDisplaySheet[[#This Row],[Count of Invocations]], "")</f>
        <v>40</v>
      </c>
      <c r="U81" s="9">
        <v>40</v>
      </c>
      <c r="V81" s="9">
        <f>IFERROR(IF(tblInputSheet[[#This Row],[Process NFR]] = "", "", tblInputSheet[[#This Row],[Process NFR]]), "")</f>
        <v>50</v>
      </c>
      <c r="W81" s="9">
        <f>tblDisplaySheet[[#This Row],[Process NFR]]*tblDisplaySheet[[#This Row],[Count of Invocations]]</f>
        <v>50</v>
      </c>
      <c r="X81" s="9">
        <v>50</v>
      </c>
      <c r="Y81" s="9">
        <f>tblDisplaySheet[[#This Row],[Total Process Path Length NFR]]-tblDisplaySheet[[#This Row],[Total Process Path Length]]</f>
        <v>10</v>
      </c>
      <c r="Z81" s="9" t="str">
        <f>IF(tblDisplaySheet[[#This Row],[Difference]]&gt;=0, "On Target", "Off Target")</f>
        <v>On Target</v>
      </c>
      <c r="AA81" s="8" t="str">
        <f>IFERROR(IF(tblInputSheet[[#This Row],[Is Leaf ?]] = "-", "", tblInputSheet[[#This Row],[Is Leaf ?]]), "")</f>
        <v>Y</v>
      </c>
      <c r="AB81" s="9" t="str">
        <f>IFERROR(IF(tblInputSheet[[#This Row],[Owner]] = "", "", tblInputSheet[[#This Row],[Owner]]), "")</f>
        <v>Sankar</v>
      </c>
      <c r="AC81" s="8" t="s">
        <v>20</v>
      </c>
      <c r="AD81" s="9"/>
    </row>
    <row r="82" spans="1:30" x14ac:dyDescent="0.25">
      <c r="A82" s="9">
        <f>IFERROR(IF(tblInputSheet[[#This Row],[Link]] = "", "", tblInputSheet[[#This Row],[Link]]), "")</f>
        <v>70</v>
      </c>
      <c r="B82" s="9">
        <f>IFERROR(IF(tblInputSheet[[#This Row],[Level]] = "", "", tblInputSheet[[#This Row],[Level]]), "")</f>
        <v>8</v>
      </c>
      <c r="C82" s="9">
        <f>IFERROR(IF(tblInputSheet[[#This Row],[Sl.No]] = "", "", tblInputSheet[[#This Row],[Sl.No]]), "")</f>
        <v>80</v>
      </c>
      <c r="D82" s="9" t="str">
        <f>IFERROR(IF(tblInputSheet[[#This Row],[Group]] = "", "", tblInputSheet[[#This Row],[Group]]), "")</f>
        <v>Service Level - Accums</v>
      </c>
      <c r="E82" s="9" t="str">
        <f>IFERROR(IF(tblInputSheet[[#This Row],[Process]] = "", "", REPT("*",Display!$B82)&amp;""&amp;tblInputSheet[[#This Row],[Process]]), "")</f>
        <v>********DME Event Validation Lookup Service</v>
      </c>
      <c r="F82" s="9" t="str">
        <f>IFERROR(IF(tblInputSheet[[#This Row],[Hosted Platform]] = "", "", tblInputSheet[[#This Row],[Hosted Platform]]), "")</f>
        <v>PCF</v>
      </c>
      <c r="G82" s="9" t="str">
        <f>IFERROR(IF(tblInputSheet[[#This Row],[Provider]] = "-", "", tblInputSheet[[#This Row],[Provider]]), "")</f>
        <v>Key-Claims Adjudication</v>
      </c>
      <c r="H82" s="9" t="str">
        <f>IFERROR(IF(tblInputSheet[[#This Row],[Consumer]] = "-", "", tblInputSheet[[#This Row],[Consumer]]), "")</f>
        <v>Key-Claims Adjudication</v>
      </c>
      <c r="I82" s="9" t="str">
        <f>IFERROR(IF(tblInputSheet[[#This Row],[Integration Pattern]] = "-", "", tblInputSheet[[#This Row],[Integration Pattern]]), "")</f>
        <v>PCF Internal (C-to-C)</v>
      </c>
      <c r="J82" s="9" t="str">
        <f>IFERROR(IF(tblInputSheet[[#This Row],[Current State]] = "-", "", tblInputSheet[[#This Row],[Current State]]), "")</f>
        <v>Y</v>
      </c>
      <c r="K82" s="9" t="str">
        <f>IFERROR(IF(tblInputSheet[[#This Row],[End State]] = "-", "", tblInputSheet[[#This Row],[End State]]), "")</f>
        <v>Y</v>
      </c>
      <c r="L82" s="9" t="str">
        <f>IFERROR(IF(tblInputSheet[[#This Row],[MVP]] = "-", "", tblInputSheet[[#This Row],[MVP]]), "")</f>
        <v>Y</v>
      </c>
      <c r="M82" s="9" t="str">
        <f>IFERROR(IF(tblInputSheet[[#This Row],[Confidence Factor]] = "-", "", VLOOKUP(tblInputSheet[[#This Row],[Confidence Factor]], tblConfidenceFactor[], 3,FALSE)), "")</f>
        <v>Low</v>
      </c>
      <c r="N82" s="9">
        <f>IFERROR(IF(tblInputSheet[[#This Row],[Count of Invocations]] = "", "", tblInputSheet[[#This Row],[Count of Invocations]]), "")</f>
        <v>0</v>
      </c>
      <c r="O82" s="9">
        <f>IFERROR(IF(tblInputSheet[[#This Row],[DB Calls (ms)]] = "", "", tblInputSheet[[#This Row],[DB Calls (ms)]]), "")</f>
        <v>5</v>
      </c>
      <c r="P82" s="9">
        <f>IFERROR(IF(tblInputSheet[[#This Row],[Logic (ms)]] = "", "", tblInputSheet[[#This Row],[Logic (ms)]]), "")</f>
        <v>30</v>
      </c>
      <c r="Q82" s="9">
        <f>IFERROR(IF(tblInputSheet[[#This Row],[Rules (ms)]] = "", "", tblInputSheet[[#This Row],[Rules (ms)]]), "")</f>
        <v>0</v>
      </c>
      <c r="R82" s="9">
        <f>IFERROR(IF(tblInputSheet[[#This Row],[Latency (ms)]] = "", "", tblInputSheet[[#This Row],[Latency (ms)]]), "")</f>
        <v>5</v>
      </c>
      <c r="S82" s="9">
        <f>IFERROR(SUM(tblDisplaySheet[[#This Row],[DB Calls (ms)]:[Latency (ms)]]), "")</f>
        <v>40</v>
      </c>
      <c r="T82" s="9">
        <f>IFERROR(tblDisplaySheet[[#This Row],[Time of Function / Call]]*tblDisplaySheet[[#This Row],[Count of Invocations]], "")</f>
        <v>0</v>
      </c>
      <c r="U82" s="9">
        <v>0</v>
      </c>
      <c r="V82" s="9">
        <f>IFERROR(IF(tblInputSheet[[#This Row],[Process NFR]] = "", "", tblInputSheet[[#This Row],[Process NFR]]), "")</f>
        <v>50</v>
      </c>
      <c r="W82" s="9">
        <f>tblDisplaySheet[[#This Row],[Process NFR]]*tblDisplaySheet[[#This Row],[Count of Invocations]]</f>
        <v>0</v>
      </c>
      <c r="X82" s="9">
        <v>0</v>
      </c>
      <c r="Y82" s="9">
        <f>tblDisplaySheet[[#This Row],[Total Process Path Length NFR]]-tblDisplaySheet[[#This Row],[Total Process Path Length]]</f>
        <v>0</v>
      </c>
      <c r="Z82" s="9" t="str">
        <f>IF(tblDisplaySheet[[#This Row],[Difference]]&gt;=0, "On Target", "Off Target")</f>
        <v>On Target</v>
      </c>
      <c r="AA82" s="8" t="str">
        <f>IFERROR(IF(tblInputSheet[[#This Row],[Is Leaf ?]] = "-", "", tblInputSheet[[#This Row],[Is Leaf ?]]), "")</f>
        <v>Y</v>
      </c>
      <c r="AB82" s="9" t="str">
        <f>IFERROR(IF(tblInputSheet[[#This Row],[Owner]] = "", "", tblInputSheet[[#This Row],[Owner]]), "")</f>
        <v>Sankar</v>
      </c>
      <c r="AC82" s="8" t="s">
        <v>20</v>
      </c>
      <c r="AD82" s="9"/>
    </row>
    <row r="83" spans="1:30" x14ac:dyDescent="0.25">
      <c r="A83" s="9">
        <f>IFERROR(IF(tblInputSheet[[#This Row],[Link]] = "", "", tblInputSheet[[#This Row],[Link]]), "")</f>
        <v>19</v>
      </c>
      <c r="B83" s="9">
        <f>IFERROR(IF(tblInputSheet[[#This Row],[Level]] = "", "", tblInputSheet[[#This Row],[Level]]), "")</f>
        <v>4</v>
      </c>
      <c r="C83" s="9">
        <f>IFERROR(IF(tblInputSheet[[#This Row],[Sl.No]] = "", "", tblInputSheet[[#This Row],[Sl.No]]), "")</f>
        <v>81</v>
      </c>
      <c r="D83" s="9" t="str">
        <f>IFERROR(IF(tblInputSheet[[#This Row],[Group]] = "", "", tblInputSheet[[#This Row],[Group]]), "")</f>
        <v>Service Level</v>
      </c>
      <c r="E83" s="9" t="str">
        <f>IFERROR(IF(tblInputSheet[[#This Row],[Process]] = "", "", REPT("*",Display!$B83)&amp;""&amp;tblInputSheet[[#This Row],[Process]]), "")</f>
        <v>****Post TPL</v>
      </c>
      <c r="F83" s="9" t="str">
        <f>IFERROR(IF(tblInputSheet[[#This Row],[Hosted Platform]] = "", "", tblInputSheet[[#This Row],[Hosted Platform]]), "")</f>
        <v>Legacy BC</v>
      </c>
      <c r="G83" s="9" t="str">
        <f>IFERROR(IF(tblInputSheet[[#This Row],[Provider]] = "-", "", tblInputSheet[[#This Row],[Provider]]), "")</f>
        <v>Claims-Legacy</v>
      </c>
      <c r="H83" s="9" t="str">
        <f>IFERROR(IF(tblInputSheet[[#This Row],[Consumer]] = "-", "", tblInputSheet[[#This Row],[Consumer]]), "")</f>
        <v>Claims-Legacy</v>
      </c>
      <c r="I83" s="9" t="str">
        <f>IFERROR(IF(tblInputSheet[[#This Row],[Integration Pattern]] = "-", "", tblInputSheet[[#This Row],[Integration Pattern]]), "")</f>
        <v>BC Internal</v>
      </c>
      <c r="J83" s="9" t="str">
        <f>IFERROR(IF(tblInputSheet[[#This Row],[Current State]] = "-", "", tblInputSheet[[#This Row],[Current State]]), "")</f>
        <v>Y</v>
      </c>
      <c r="K83" s="9" t="str">
        <f>IFERROR(IF(tblInputSheet[[#This Row],[End State]] = "-", "", tblInputSheet[[#This Row],[End State]]), "")</f>
        <v>N</v>
      </c>
      <c r="L83" s="9" t="str">
        <f>IFERROR(IF(tblInputSheet[[#This Row],[MVP]] = "-", "", tblInputSheet[[#This Row],[MVP]]), "")</f>
        <v>N</v>
      </c>
      <c r="M83" s="9" t="str">
        <f>IFERROR(IF(tblInputSheet[[#This Row],[Confidence Factor]] = "-", "", VLOOKUP(tblInputSheet[[#This Row],[Confidence Factor]], tblConfidenceFactor[], 3,FALSE)), "")</f>
        <v>Group</v>
      </c>
      <c r="N83" s="9">
        <f>IFERROR(IF(tblInputSheet[[#This Row],[Count of Invocations]] = "", "", tblInputSheet[[#This Row],[Count of Invocations]]), "")</f>
        <v>1</v>
      </c>
      <c r="O83" s="9">
        <f>IFERROR(IF(tblInputSheet[[#This Row],[DB Calls (ms)]] = "", "", tblInputSheet[[#This Row],[DB Calls (ms)]]), "")</f>
        <v>0</v>
      </c>
      <c r="P83" s="9">
        <f>IFERROR(IF(tblInputSheet[[#This Row],[Logic (ms)]] = "", "", tblInputSheet[[#This Row],[Logic (ms)]]), "")</f>
        <v>50</v>
      </c>
      <c r="Q83" s="9">
        <f>IFERROR(IF(tblInputSheet[[#This Row],[Rules (ms)]] = "", "", tblInputSheet[[#This Row],[Rules (ms)]]), "")</f>
        <v>0</v>
      </c>
      <c r="R83" s="9">
        <f>IFERROR(IF(tblInputSheet[[#This Row],[Latency (ms)]] = "", "", tblInputSheet[[#This Row],[Latency (ms)]]), "")</f>
        <v>0</v>
      </c>
      <c r="S83" s="9">
        <f>IFERROR(SUM(tblDisplaySheet[[#This Row],[DB Calls (ms)]:[Latency (ms)]]), "")</f>
        <v>50</v>
      </c>
      <c r="T83" s="9">
        <f>IFERROR(tblDisplaySheet[[#This Row],[Time of Function / Call]]*tblDisplaySheet[[#This Row],[Count of Invocations]], "")</f>
        <v>50</v>
      </c>
      <c r="U83" s="9">
        <v>50</v>
      </c>
      <c r="V83" s="9">
        <f>IFERROR(IF(tblInputSheet[[#This Row],[Process NFR]] = "", "", tblInputSheet[[#This Row],[Process NFR]]), "")</f>
        <v>50</v>
      </c>
      <c r="W83" s="9">
        <f>tblDisplaySheet[[#This Row],[Process NFR]]*tblDisplaySheet[[#This Row],[Count of Invocations]]</f>
        <v>50</v>
      </c>
      <c r="X83" s="9">
        <v>50</v>
      </c>
      <c r="Y83" s="9">
        <f>tblDisplaySheet[[#This Row],[Total Process Path Length NFR]]-tblDisplaySheet[[#This Row],[Total Process Path Length]]</f>
        <v>0</v>
      </c>
      <c r="Z83" s="9" t="str">
        <f>IF(tblDisplaySheet[[#This Row],[Difference]]&gt;=0, "On Target", "Off Target")</f>
        <v>On Target</v>
      </c>
      <c r="AA83" s="8" t="str">
        <f>IFERROR(IF(tblInputSheet[[#This Row],[Is Leaf ?]] = "-", "", tblInputSheet[[#This Row],[Is Leaf ?]]), "")</f>
        <v>Y</v>
      </c>
      <c r="AB83" s="9" t="str">
        <f>IFERROR(IF(tblInputSheet[[#This Row],[Owner]] = "", "", tblInputSheet[[#This Row],[Owner]]), "")</f>
        <v>Alak</v>
      </c>
      <c r="AC83" s="8" t="s">
        <v>20</v>
      </c>
      <c r="AD83" s="9"/>
    </row>
    <row r="84" spans="1:30" x14ac:dyDescent="0.25">
      <c r="A84" s="9">
        <f>IFERROR(IF(tblInputSheet[[#This Row],[Link]] = "", "", tblInputSheet[[#This Row],[Link]]), "")</f>
        <v>2</v>
      </c>
      <c r="B84" s="9">
        <f>IFERROR(IF(tblInputSheet[[#This Row],[Level]] = "", "", tblInputSheet[[#This Row],[Level]]), "")</f>
        <v>2</v>
      </c>
      <c r="C84" s="9">
        <f>IFERROR(IF(tblInputSheet[[#This Row],[Sl.No]] = "", "", tblInputSheet[[#This Row],[Sl.No]]), "")</f>
        <v>82</v>
      </c>
      <c r="D84" s="9" t="str">
        <f>IFERROR(IF(tblInputSheet[[#This Row],[Group]] = "", "", tblInputSheet[[#This Row],[Group]]), "")</f>
        <v>Claim Release</v>
      </c>
      <c r="E84" s="9" t="str">
        <f>IFERROR(IF(tblInputSheet[[#This Row],[Process]] = "", "", REPT("*",Display!$B84)&amp;""&amp;tblInputSheet[[#This Row],[Process]]), "")</f>
        <v>**Claim Release</v>
      </c>
      <c r="F84" s="9" t="str">
        <f>IFERROR(IF(tblInputSheet[[#This Row],[Hosted Platform]] = "", "", tblInputSheet[[#This Row],[Hosted Platform]]), "")</f>
        <v>Business Process</v>
      </c>
      <c r="G84" s="9" t="str">
        <f>IFERROR(IF(tblInputSheet[[#This Row],[Provider]] = "-", "", tblInputSheet[[#This Row],[Provider]]), "")</f>
        <v>NA</v>
      </c>
      <c r="H84" s="9" t="str">
        <f>IFERROR(IF(tblInputSheet[[#This Row],[Consumer]] = "-", "", tblInputSheet[[#This Row],[Consumer]]), "")</f>
        <v>NA</v>
      </c>
      <c r="I84" s="9" t="str">
        <f>IFERROR(IF(tblInputSheet[[#This Row],[Integration Pattern]] = "-", "", tblInputSheet[[#This Row],[Integration Pattern]]), "")</f>
        <v>Group</v>
      </c>
      <c r="J84" s="9" t="str">
        <f>IFERROR(IF(tblInputSheet[[#This Row],[Current State]] = "-", "", tblInputSheet[[#This Row],[Current State]]), "")</f>
        <v>Y</v>
      </c>
      <c r="K84" s="9" t="str">
        <f>IFERROR(IF(tblInputSheet[[#This Row],[End State]] = "-", "", tblInputSheet[[#This Row],[End State]]), "")</f>
        <v>N</v>
      </c>
      <c r="L84" s="9" t="str">
        <f>IFERROR(IF(tblInputSheet[[#This Row],[MVP]] = "-", "", tblInputSheet[[#This Row],[MVP]]), "")</f>
        <v>N</v>
      </c>
      <c r="M84" s="9" t="str">
        <f>IFERROR(IF(tblInputSheet[[#This Row],[Confidence Factor]] = "-", "", VLOOKUP(tblInputSheet[[#This Row],[Confidence Factor]], tblConfidenceFactor[], 3,FALSE)), "")</f>
        <v>Low</v>
      </c>
      <c r="N84" s="9">
        <f>IFERROR(IF(tblInputSheet[[#This Row],[Count of Invocations]] = "", "", tblInputSheet[[#This Row],[Count of Invocations]]), "")</f>
        <v>0</v>
      </c>
      <c r="O84" s="9">
        <f>IFERROR(IF(tblInputSheet[[#This Row],[DB Calls (ms)]] = "", "", tblInputSheet[[#This Row],[DB Calls (ms)]]), "")</f>
        <v>0</v>
      </c>
      <c r="P84" s="9">
        <f>IFERROR(IF(tblInputSheet[[#This Row],[Logic (ms)]] = "", "", tblInputSheet[[#This Row],[Logic (ms)]]), "")</f>
        <v>0</v>
      </c>
      <c r="Q84" s="9">
        <f>IFERROR(IF(tblInputSheet[[#This Row],[Rules (ms)]] = "", "", tblInputSheet[[#This Row],[Rules (ms)]]), "")</f>
        <v>0</v>
      </c>
      <c r="R84" s="9">
        <f>IFERROR(IF(tblInputSheet[[#This Row],[Latency (ms)]] = "", "", tblInputSheet[[#This Row],[Latency (ms)]]), "")</f>
        <v>0</v>
      </c>
      <c r="S84" s="9">
        <f>IFERROR(SUM(tblDisplaySheet[[#This Row],[DB Calls (ms)]:[Latency (ms)]]), "")</f>
        <v>0</v>
      </c>
      <c r="T84" s="9">
        <f>IFERROR(tblDisplaySheet[[#This Row],[Time of Function / Call]]*tblDisplaySheet[[#This Row],[Count of Invocations]], "")</f>
        <v>0</v>
      </c>
      <c r="U84" s="9">
        <v>200</v>
      </c>
      <c r="V84" s="9">
        <f>IFERROR(IF(tblInputSheet[[#This Row],[Process NFR]] = "", "", tblInputSheet[[#This Row],[Process NFR]]), "")</f>
        <v>0</v>
      </c>
      <c r="W84" s="9">
        <f>tblDisplaySheet[[#This Row],[Process NFR]]*tblDisplaySheet[[#This Row],[Count of Invocations]]</f>
        <v>0</v>
      </c>
      <c r="X84" s="9">
        <v>200</v>
      </c>
      <c r="Y84" s="9">
        <f>tblDisplaySheet[[#This Row],[Total Process Path Length NFR]]-tblDisplaySheet[[#This Row],[Total Process Path Length]]</f>
        <v>0</v>
      </c>
      <c r="Z84" s="9" t="str">
        <f>IF(tblDisplaySheet[[#This Row],[Difference]]&gt;=0, "On Target", "Off Target")</f>
        <v>On Target</v>
      </c>
      <c r="AA84" s="8" t="str">
        <f>IFERROR(IF(tblInputSheet[[#This Row],[Is Leaf ?]] = "-", "", tblInputSheet[[#This Row],[Is Leaf ?]]), "")</f>
        <v>G</v>
      </c>
      <c r="AB84" s="9" t="str">
        <f>IFERROR(IF(tblInputSheet[[#This Row],[Owner]] = "", "", tblInputSheet[[#This Row],[Owner]]), "")</f>
        <v>Alak</v>
      </c>
      <c r="AC84" s="8" t="s">
        <v>73</v>
      </c>
      <c r="AD84" s="9"/>
    </row>
    <row r="85" spans="1:30" x14ac:dyDescent="0.25">
      <c r="A85" s="9">
        <f>IFERROR(IF(tblInputSheet[[#This Row],[Link]] = "", "", tblInputSheet[[#This Row],[Link]]), "")</f>
        <v>82</v>
      </c>
      <c r="B85" s="9">
        <f>IFERROR(IF(tblInputSheet[[#This Row],[Level]] = "", "", tblInputSheet[[#This Row],[Level]]), "")</f>
        <v>3</v>
      </c>
      <c r="C85" s="9">
        <f>IFERROR(IF(tblInputSheet[[#This Row],[Sl.No]] = "", "", tblInputSheet[[#This Row],[Sl.No]]), "")</f>
        <v>83</v>
      </c>
      <c r="D85" s="9" t="str">
        <f>IFERROR(IF(tblInputSheet[[#This Row],[Group]] = "", "", tblInputSheet[[#This Row],[Group]]), "")</f>
        <v>Claim Release</v>
      </c>
      <c r="E85" s="9" t="str">
        <f>IFERROR(IF(tblInputSheet[[#This Row],[Process]] = "", "", REPT("*",Display!$B85)&amp;""&amp;tblInputSheet[[#This Row],[Process]]), "")</f>
        <v>***Claim Release BC</v>
      </c>
      <c r="F85" s="9" t="str">
        <f>IFERROR(IF(tblInputSheet[[#This Row],[Hosted Platform]] = "", "", tblInputSheet[[#This Row],[Hosted Platform]]), "")</f>
        <v>Legacy BC</v>
      </c>
      <c r="G85" s="9" t="str">
        <f>IFERROR(IF(tblInputSheet[[#This Row],[Provider]] = "-", "", tblInputSheet[[#This Row],[Provider]]), "")</f>
        <v>Claims-Legacy</v>
      </c>
      <c r="H85" s="9" t="str">
        <f>IFERROR(IF(tblInputSheet[[#This Row],[Consumer]] = "-", "", tblInputSheet[[#This Row],[Consumer]]), "")</f>
        <v>Claims-Legacy</v>
      </c>
      <c r="I85" s="9" t="str">
        <f>IFERROR(IF(tblInputSheet[[#This Row],[Integration Pattern]] = "-", "", tblInputSheet[[#This Row],[Integration Pattern]]), "")</f>
        <v>BC Internal</v>
      </c>
      <c r="J85" s="9" t="str">
        <f>IFERROR(IF(tblInputSheet[[#This Row],[Current State]] = "-", "", tblInputSheet[[#This Row],[Current State]]), "")</f>
        <v>Y</v>
      </c>
      <c r="K85" s="9" t="str">
        <f>IFERROR(IF(tblInputSheet[[#This Row],[End State]] = "-", "", tblInputSheet[[#This Row],[End State]]), "")</f>
        <v>N</v>
      </c>
      <c r="L85" s="9" t="str">
        <f>IFERROR(IF(tblInputSheet[[#This Row],[MVP]] = "-", "", tblInputSheet[[#This Row],[MVP]]), "")</f>
        <v>N</v>
      </c>
      <c r="M85" s="9" t="str">
        <f>IFERROR(IF(tblInputSheet[[#This Row],[Confidence Factor]] = "-", "", VLOOKUP(tblInputSheet[[#This Row],[Confidence Factor]], tblConfidenceFactor[], 3,FALSE)), "")</f>
        <v>Group</v>
      </c>
      <c r="N85" s="9">
        <f>IFERROR(IF(tblInputSheet[[#This Row],[Count of Invocations]] = "", "", tblInputSheet[[#This Row],[Count of Invocations]]), "")</f>
        <v>1</v>
      </c>
      <c r="O85" s="9">
        <f>IFERROR(IF(tblInputSheet[[#This Row],[DB Calls (ms)]] = "", "", tblInputSheet[[#This Row],[DB Calls (ms)]]), "")</f>
        <v>0</v>
      </c>
      <c r="P85" s="9">
        <f>IFERROR(IF(tblInputSheet[[#This Row],[Logic (ms)]] = "", "", tblInputSheet[[#This Row],[Logic (ms)]]), "")</f>
        <v>50</v>
      </c>
      <c r="Q85" s="9">
        <f>IFERROR(IF(tblInputSheet[[#This Row],[Rules (ms)]] = "", "", tblInputSheet[[#This Row],[Rules (ms)]]), "")</f>
        <v>0</v>
      </c>
      <c r="R85" s="9">
        <f>IFERROR(IF(tblInputSheet[[#This Row],[Latency (ms)]] = "", "", tblInputSheet[[#This Row],[Latency (ms)]]), "")</f>
        <v>0</v>
      </c>
      <c r="S85" s="9">
        <f>IFERROR(SUM(tblDisplaySheet[[#This Row],[DB Calls (ms)]:[Latency (ms)]]), "")</f>
        <v>50</v>
      </c>
      <c r="T85" s="9">
        <f>IFERROR(tblDisplaySheet[[#This Row],[Time of Function / Call]]*tblDisplaySheet[[#This Row],[Count of Invocations]], "")</f>
        <v>50</v>
      </c>
      <c r="U85" s="9">
        <v>200</v>
      </c>
      <c r="V85" s="9">
        <f>IFERROR(IF(tblInputSheet[[#This Row],[Process NFR]] = "", "", tblInputSheet[[#This Row],[Process NFR]]), "")</f>
        <v>50</v>
      </c>
      <c r="W85" s="9">
        <f>tblDisplaySheet[[#This Row],[Process NFR]]*tblDisplaySheet[[#This Row],[Count of Invocations]]</f>
        <v>50</v>
      </c>
      <c r="X85" s="9">
        <v>200</v>
      </c>
      <c r="Y85" s="9">
        <f>tblDisplaySheet[[#This Row],[Total Process Path Length NFR]]-tblDisplaySheet[[#This Row],[Total Process Path Length]]</f>
        <v>0</v>
      </c>
      <c r="Z85" s="9" t="str">
        <f>IF(tblDisplaySheet[[#This Row],[Difference]]&gt;=0, "On Target", "Off Target")</f>
        <v>On Target</v>
      </c>
      <c r="AA85" s="8" t="str">
        <f>IFERROR(IF(tblInputSheet[[#This Row],[Is Leaf ?]] = "-", "", tblInputSheet[[#This Row],[Is Leaf ?]]), "")</f>
        <v>N</v>
      </c>
      <c r="AB85" s="9" t="str">
        <f>IFERROR(IF(tblInputSheet[[#This Row],[Owner]] = "", "", tblInputSheet[[#This Row],[Owner]]), "")</f>
        <v>Alak</v>
      </c>
      <c r="AC85" s="8" t="s">
        <v>20</v>
      </c>
      <c r="AD85" s="9"/>
    </row>
    <row r="86" spans="1:30" x14ac:dyDescent="0.25">
      <c r="A86" s="9">
        <f>IFERROR(IF(tblInputSheet[[#This Row],[Link]] = "", "", tblInputSheet[[#This Row],[Link]]), "")</f>
        <v>83</v>
      </c>
      <c r="B86" s="9">
        <f>IFERROR(IF(tblInputSheet[[#This Row],[Level]] = "", "", tblInputSheet[[#This Row],[Level]]), "")</f>
        <v>4</v>
      </c>
      <c r="C86" s="9">
        <f>IFERROR(IF(tblInputSheet[[#This Row],[Sl.No]] = "", "", tblInputSheet[[#This Row],[Sl.No]]), "")</f>
        <v>84</v>
      </c>
      <c r="D86" s="9" t="str">
        <f>IFERROR(IF(tblInputSheet[[#This Row],[Group]] = "", "", tblInputSheet[[#This Row],[Group]]), "")</f>
        <v>Claim Release</v>
      </c>
      <c r="E86" s="9" t="str">
        <f>IFERROR(IF(tblInputSheet[[#This Row],[Process]] = "", "", REPT("*",Display!$B86)&amp;""&amp;tblInputSheet[[#This Row],[Process]]), "")</f>
        <v>****Claim Release - Update Keystone Ledger 2.0</v>
      </c>
      <c r="F86" s="9" t="str">
        <f>IFERROR(IF(tblInputSheet[[#This Row],[Hosted Platform]] = "", "", tblInputSheet[[#This Row],[Hosted Platform]]), "")</f>
        <v>Legacy BC</v>
      </c>
      <c r="G86" s="9" t="str">
        <f>IFERROR(IF(tblInputSheet[[#This Row],[Provider]] = "-", "", tblInputSheet[[#This Row],[Provider]]), "")</f>
        <v>Claims-Legacy</v>
      </c>
      <c r="H86" s="9" t="str">
        <f>IFERROR(IF(tblInputSheet[[#This Row],[Consumer]] = "-", "", tblInputSheet[[#This Row],[Consumer]]), "")</f>
        <v>Claims-Legacy</v>
      </c>
      <c r="I86" s="9" t="str">
        <f>IFERROR(IF(tblInputSheet[[#This Row],[Integration Pattern]] = "-", "", tblInputSheet[[#This Row],[Integration Pattern]]), "")</f>
        <v>BC Internal</v>
      </c>
      <c r="J86" s="9" t="str">
        <f>IFERROR(IF(tblInputSheet[[#This Row],[Current State]] = "-", "", tblInputSheet[[#This Row],[Current State]]), "")</f>
        <v>Y</v>
      </c>
      <c r="K86" s="9" t="str">
        <f>IFERROR(IF(tblInputSheet[[#This Row],[End State]] = "-", "", tblInputSheet[[#This Row],[End State]]), "")</f>
        <v>N</v>
      </c>
      <c r="L86" s="9" t="str">
        <f>IFERROR(IF(tblInputSheet[[#This Row],[MVP]] = "-", "", tblInputSheet[[#This Row],[MVP]]), "")</f>
        <v>Y</v>
      </c>
      <c r="M86" s="9" t="str">
        <f>IFERROR(IF(tblInputSheet[[#This Row],[Confidence Factor]] = "-", "", VLOOKUP(tblInputSheet[[#This Row],[Confidence Factor]], tblConfidenceFactor[], 3,FALSE)), "")</f>
        <v>Group</v>
      </c>
      <c r="N86" s="9">
        <f>IFERROR(IF(tblInputSheet[[#This Row],[Count of Invocations]] = "", "", tblInputSheet[[#This Row],[Count of Invocations]]), "")</f>
        <v>1</v>
      </c>
      <c r="O86" s="9">
        <f>IFERROR(IF(tblInputSheet[[#This Row],[DB Calls (ms)]] = "", "", tblInputSheet[[#This Row],[DB Calls (ms)]]), "")</f>
        <v>0</v>
      </c>
      <c r="P86" s="9">
        <f>IFERROR(IF(tblInputSheet[[#This Row],[Logic (ms)]] = "", "", tblInputSheet[[#This Row],[Logic (ms)]]), "")</f>
        <v>100</v>
      </c>
      <c r="Q86" s="9">
        <f>IFERROR(IF(tblInputSheet[[#This Row],[Rules (ms)]] = "", "", tblInputSheet[[#This Row],[Rules (ms)]]), "")</f>
        <v>0</v>
      </c>
      <c r="R86" s="9">
        <f>IFERROR(IF(tblInputSheet[[#This Row],[Latency (ms)]] = "", "", tblInputSheet[[#This Row],[Latency (ms)]]), "")</f>
        <v>0</v>
      </c>
      <c r="S86" s="9">
        <f>IFERROR(SUM(tblDisplaySheet[[#This Row],[DB Calls (ms)]:[Latency (ms)]]), "")</f>
        <v>100</v>
      </c>
      <c r="T86" s="9">
        <f>IFERROR(tblDisplaySheet[[#This Row],[Time of Function / Call]]*tblDisplaySheet[[#This Row],[Count of Invocations]], "")</f>
        <v>100</v>
      </c>
      <c r="U86" s="9">
        <v>100</v>
      </c>
      <c r="V86" s="9">
        <f>IFERROR(IF(tblInputSheet[[#This Row],[Process NFR]] = "", "", tblInputSheet[[#This Row],[Process NFR]]), "")</f>
        <v>100</v>
      </c>
      <c r="W86" s="9">
        <f>tblDisplaySheet[[#This Row],[Process NFR]]*tblDisplaySheet[[#This Row],[Count of Invocations]]</f>
        <v>100</v>
      </c>
      <c r="X86" s="9">
        <v>100</v>
      </c>
      <c r="Y86" s="9">
        <f>tblDisplaySheet[[#This Row],[Total Process Path Length NFR]]-tblDisplaySheet[[#This Row],[Total Process Path Length]]</f>
        <v>0</v>
      </c>
      <c r="Z86" s="9" t="str">
        <f>IF(tblDisplaySheet[[#This Row],[Difference]]&gt;=0, "On Target", "Off Target")</f>
        <v>On Target</v>
      </c>
      <c r="AA86" s="8" t="str">
        <f>IFERROR(IF(tblInputSheet[[#This Row],[Is Leaf ?]] = "-", "", tblInputSheet[[#This Row],[Is Leaf ?]]), "")</f>
        <v>Y</v>
      </c>
      <c r="AB86" s="9" t="str">
        <f>IFERROR(IF(tblInputSheet[[#This Row],[Owner]] = "", "", tblInputSheet[[#This Row],[Owner]]), "")</f>
        <v>Alak</v>
      </c>
      <c r="AC86" s="8" t="s">
        <v>20</v>
      </c>
      <c r="AD86" s="9"/>
    </row>
    <row r="87" spans="1:30" x14ac:dyDescent="0.25">
      <c r="A87" s="9">
        <f>IFERROR(IF(tblInputSheet[[#This Row],[Link]] = "", "", tblInputSheet[[#This Row],[Link]]), "")</f>
        <v>83</v>
      </c>
      <c r="B87" s="9">
        <f>IFERROR(IF(tblInputSheet[[#This Row],[Level]] = "", "", tblInputSheet[[#This Row],[Level]]), "")</f>
        <v>4</v>
      </c>
      <c r="C87" s="9">
        <f>IFERROR(IF(tblInputSheet[[#This Row],[Sl.No]] = "", "", tblInputSheet[[#This Row],[Sl.No]]), "")</f>
        <v>85</v>
      </c>
      <c r="D87" s="9" t="str">
        <f>IFERROR(IF(tblInputSheet[[#This Row],[Group]] = "", "", tblInputSheet[[#This Row],[Group]]), "")</f>
        <v>Claim Release</v>
      </c>
      <c r="E87" s="9" t="str">
        <f>IFERROR(IF(tblInputSheet[[#This Row],[Process]] = "", "", REPT("*",Display!$B87)&amp;""&amp;tblInputSheet[[#This Row],[Process]]), "")</f>
        <v>****Claim Pend Process</v>
      </c>
      <c r="F87" s="9" t="str">
        <f>IFERROR(IF(tblInputSheet[[#This Row],[Hosted Platform]] = "", "", tblInputSheet[[#This Row],[Hosted Platform]]), "")</f>
        <v>Legacy BC</v>
      </c>
      <c r="G87" s="9" t="str">
        <f>IFERROR(IF(tblInputSheet[[#This Row],[Provider]] = "-", "", tblInputSheet[[#This Row],[Provider]]), "")</f>
        <v>Claims-Legacy</v>
      </c>
      <c r="H87" s="9" t="str">
        <f>IFERROR(IF(tblInputSheet[[#This Row],[Consumer]] = "-", "", tblInputSheet[[#This Row],[Consumer]]), "")</f>
        <v>Claims-Legacy</v>
      </c>
      <c r="I87" s="9" t="str">
        <f>IFERROR(IF(tblInputSheet[[#This Row],[Integration Pattern]] = "-", "", tblInputSheet[[#This Row],[Integration Pattern]]), "")</f>
        <v>BC Internal</v>
      </c>
      <c r="J87" s="9" t="str">
        <f>IFERROR(IF(tblInputSheet[[#This Row],[Current State]] = "-", "", tblInputSheet[[#This Row],[Current State]]), "")</f>
        <v>Y</v>
      </c>
      <c r="K87" s="9" t="str">
        <f>IFERROR(IF(tblInputSheet[[#This Row],[End State]] = "-", "", tblInputSheet[[#This Row],[End State]]), "")</f>
        <v>N</v>
      </c>
      <c r="L87" s="9" t="str">
        <f>IFERROR(IF(tblInputSheet[[#This Row],[MVP]] = "-", "", tblInputSheet[[#This Row],[MVP]]), "")</f>
        <v>N</v>
      </c>
      <c r="M87" s="9" t="str">
        <f>IFERROR(IF(tblInputSheet[[#This Row],[Confidence Factor]] = "-", "", VLOOKUP(tblInputSheet[[#This Row],[Confidence Factor]], tblConfidenceFactor[], 3,FALSE)), "")</f>
        <v>Group</v>
      </c>
      <c r="N87" s="9">
        <f>IFERROR(IF(tblInputSheet[[#This Row],[Count of Invocations]] = "", "", tblInputSheet[[#This Row],[Count of Invocations]]), "")</f>
        <v>1</v>
      </c>
      <c r="O87" s="9">
        <f>IFERROR(IF(tblInputSheet[[#This Row],[DB Calls (ms)]] = "", "", tblInputSheet[[#This Row],[DB Calls (ms)]]), "")</f>
        <v>0</v>
      </c>
      <c r="P87" s="9">
        <f>IFERROR(IF(tblInputSheet[[#This Row],[Logic (ms)]] = "", "", tblInputSheet[[#This Row],[Logic (ms)]]), "")</f>
        <v>50</v>
      </c>
      <c r="Q87" s="9">
        <f>IFERROR(IF(tblInputSheet[[#This Row],[Rules (ms)]] = "", "", tblInputSheet[[#This Row],[Rules (ms)]]), "")</f>
        <v>0</v>
      </c>
      <c r="R87" s="9">
        <f>IFERROR(IF(tblInputSheet[[#This Row],[Latency (ms)]] = "", "", tblInputSheet[[#This Row],[Latency (ms)]]), "")</f>
        <v>0</v>
      </c>
      <c r="S87" s="9">
        <f>IFERROR(SUM(tblDisplaySheet[[#This Row],[DB Calls (ms)]:[Latency (ms)]]), "")</f>
        <v>50</v>
      </c>
      <c r="T87" s="9">
        <f>IFERROR(tblDisplaySheet[[#This Row],[Time of Function / Call]]*tblDisplaySheet[[#This Row],[Count of Invocations]], "")</f>
        <v>50</v>
      </c>
      <c r="U87" s="9">
        <v>50</v>
      </c>
      <c r="V87" s="9">
        <f>IFERROR(IF(tblInputSheet[[#This Row],[Process NFR]] = "", "", tblInputSheet[[#This Row],[Process NFR]]), "")</f>
        <v>50</v>
      </c>
      <c r="W87" s="9">
        <f>tblDisplaySheet[[#This Row],[Process NFR]]*tblDisplaySheet[[#This Row],[Count of Invocations]]</f>
        <v>50</v>
      </c>
      <c r="X87" s="9">
        <v>50</v>
      </c>
      <c r="Y87" s="9">
        <f>tblDisplaySheet[[#This Row],[Total Process Path Length NFR]]-tblDisplaySheet[[#This Row],[Total Process Path Length]]</f>
        <v>0</v>
      </c>
      <c r="Z87" s="9" t="str">
        <f>IF(tblDisplaySheet[[#This Row],[Difference]]&gt;=0, "On Target", "Off Target")</f>
        <v>On Target</v>
      </c>
      <c r="AA87" s="8" t="str">
        <f>IFERROR(IF(tblInputSheet[[#This Row],[Is Leaf ?]] = "-", "", tblInputSheet[[#This Row],[Is Leaf ?]]), "")</f>
        <v>Y</v>
      </c>
      <c r="AB87" s="9" t="str">
        <f>IFERROR(IF(tblInputSheet[[#This Row],[Owner]] = "", "", tblInputSheet[[#This Row],[Owner]]), "")</f>
        <v>Alak</v>
      </c>
      <c r="AC87" s="8" t="s">
        <v>20</v>
      </c>
      <c r="AD87" s="9"/>
    </row>
  </sheetData>
  <mergeCells count="4">
    <mergeCell ref="A1:C1"/>
    <mergeCell ref="D1:I1"/>
    <mergeCell ref="J1:R1"/>
    <mergeCell ref="S1:AA1"/>
  </mergeCells>
  <conditionalFormatting sqref="Z3:Z81">
    <cfRule type="expression" dxfId="137" priority="5">
      <formula>$Z3="Off Target"</formula>
    </cfRule>
    <cfRule type="expression" dxfId="136" priority="6">
      <formula>$Z3="On Target"</formula>
    </cfRule>
  </conditionalFormatting>
  <conditionalFormatting sqref="E3:E100">
    <cfRule type="expression" dxfId="135" priority="3">
      <formula>$AA3="G"</formula>
    </cfRule>
    <cfRule type="expression" dxfId="134" priority="4">
      <formula>$AA3="Y"</formula>
    </cfRule>
  </conditionalFormatting>
  <conditionalFormatting sqref="Z82:Z85">
    <cfRule type="expression" dxfId="133" priority="1">
      <formula>$Z82="Off Target"</formula>
    </cfRule>
    <cfRule type="expression" dxfId="132" priority="2">
      <formula>$Z82="On Target"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Calc" altText="Re-Calc">
                <anchor moveWithCells="1" sizeWithCells="1">
                  <from>
                    <xdr:col>28</xdr:col>
                    <xdr:colOff>76200</xdr:colOff>
                    <xdr:row>1</xdr:row>
                    <xdr:rowOff>352425</xdr:rowOff>
                  </from>
                  <to>
                    <xdr:col>28</xdr:col>
                    <xdr:colOff>1171575</xdr:colOff>
                    <xdr:row>1</xdr:row>
                    <xdr:rowOff>819150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D9A5F-6DEF-493F-80BF-27B027EC9344}">
  <sheetPr codeName="Sheet3"/>
  <dimension ref="A1:AE87"/>
  <sheetViews>
    <sheetView tabSelected="1" workbookViewId="0">
      <selection activeCell="E23" sqref="E23"/>
    </sheetView>
  </sheetViews>
  <sheetFormatPr defaultRowHeight="15" x14ac:dyDescent="0.25"/>
  <cols>
    <col min="1" max="1" width="7.42578125" customWidth="1"/>
    <col min="2" max="2" width="8.140625" customWidth="1"/>
    <col min="3" max="3" width="8.28515625" customWidth="1"/>
    <col min="4" max="4" width="31" customWidth="1"/>
    <col min="5" max="5" width="61.5703125" bestFit="1" customWidth="1"/>
    <col min="6" max="6" width="61.5703125" style="7" customWidth="1"/>
    <col min="7" max="7" width="20.5703125" customWidth="1"/>
    <col min="8" max="8" width="20.5703125" style="7" customWidth="1"/>
    <col min="9" max="9" width="23" bestFit="1" customWidth="1"/>
    <col min="10" max="10" width="23" style="7" customWidth="1"/>
    <col min="11" max="11" width="23" bestFit="1" customWidth="1"/>
    <col min="12" max="12" width="23" style="7" customWidth="1"/>
    <col min="13" max="13" width="23.85546875" customWidth="1"/>
    <col min="14" max="14" width="23.85546875" style="7" customWidth="1"/>
    <col min="16" max="16" width="20" customWidth="1"/>
    <col min="17" max="17" width="14.85546875" customWidth="1"/>
    <col min="18" max="18" width="19.140625" customWidth="1"/>
    <col min="19" max="19" width="21.28515625" customWidth="1"/>
    <col min="20" max="20" width="14.5703125" customWidth="1"/>
    <col min="21" max="21" width="12" customWidth="1"/>
    <col min="22" max="22" width="21.140625" bestFit="1" customWidth="1"/>
    <col min="23" max="23" width="14.28515625" customWidth="1"/>
    <col min="24" max="24" width="13.85546875" customWidth="1"/>
    <col min="25" max="25" width="23" customWidth="1"/>
    <col min="26" max="26" width="23" style="7" customWidth="1"/>
    <col min="27" max="27" width="12.42578125" customWidth="1"/>
    <col min="28" max="28" width="19.5703125" customWidth="1"/>
    <col min="29" max="29" width="25.5703125" customWidth="1"/>
    <col min="30" max="30" width="25.5703125" style="7" customWidth="1"/>
    <col min="31" max="31" width="29.5703125" customWidth="1"/>
    <col min="32" max="32" width="12.42578125" customWidth="1"/>
    <col min="33" max="33" width="22.5703125" customWidth="1"/>
  </cols>
  <sheetData>
    <row r="1" spans="1:31" x14ac:dyDescent="0.25">
      <c r="AC1" s="7"/>
      <c r="AD1"/>
    </row>
    <row r="2" spans="1:31" ht="45" x14ac:dyDescent="0.25">
      <c r="A2" s="1" t="s">
        <v>0</v>
      </c>
      <c r="B2" s="1" t="s">
        <v>1</v>
      </c>
      <c r="C2" s="1" t="s">
        <v>165</v>
      </c>
      <c r="D2" s="1" t="s">
        <v>3</v>
      </c>
      <c r="E2" s="1" t="s">
        <v>152</v>
      </c>
      <c r="F2" s="1" t="s">
        <v>334</v>
      </c>
      <c r="G2" s="1" t="s">
        <v>338</v>
      </c>
      <c r="H2" s="1" t="s">
        <v>332</v>
      </c>
      <c r="I2" s="1" t="s">
        <v>337</v>
      </c>
      <c r="J2" s="1" t="s">
        <v>31</v>
      </c>
      <c r="K2" s="1" t="s">
        <v>336</v>
      </c>
      <c r="L2" s="1" t="s">
        <v>149</v>
      </c>
      <c r="M2" s="1" t="s">
        <v>335</v>
      </c>
      <c r="N2" s="1" t="s">
        <v>5</v>
      </c>
      <c r="O2" s="1" t="s">
        <v>6</v>
      </c>
      <c r="P2" s="1" t="s">
        <v>9</v>
      </c>
      <c r="Q2" s="1" t="s">
        <v>10</v>
      </c>
      <c r="R2" s="1" t="s">
        <v>11</v>
      </c>
      <c r="S2" s="1" t="s">
        <v>12</v>
      </c>
      <c r="T2" s="1" t="s">
        <v>13</v>
      </c>
      <c r="U2" s="1" t="s">
        <v>14</v>
      </c>
      <c r="V2" s="1" t="s">
        <v>156</v>
      </c>
      <c r="W2" s="1" t="s">
        <v>157</v>
      </c>
      <c r="X2" s="1" t="s">
        <v>158</v>
      </c>
      <c r="Y2" s="1" t="s">
        <v>15</v>
      </c>
      <c r="Z2" s="4" t="s">
        <v>254</v>
      </c>
      <c r="AA2" s="1" t="s">
        <v>159</v>
      </c>
      <c r="AB2" s="1" t="s">
        <v>161</v>
      </c>
      <c r="AC2" s="1" t="s">
        <v>333</v>
      </c>
      <c r="AD2" s="1" t="s">
        <v>226</v>
      </c>
      <c r="AE2" s="1" t="s">
        <v>244</v>
      </c>
    </row>
    <row r="3" spans="1:31" x14ac:dyDescent="0.25">
      <c r="A3">
        <f>tblDisplaySheet[[#This Row],[Link]]</f>
        <v>0</v>
      </c>
      <c r="B3">
        <f>tblDisplaySheet[[#This Row],[Level]]</f>
        <v>0</v>
      </c>
      <c r="C3">
        <f>tblDisplaySheet[[#This Row],[Sl.No]]</f>
        <v>1</v>
      </c>
      <c r="D3" t="str">
        <f>tblDisplaySheet[[#This Row],[Group]]</f>
        <v>Claim Adjudication</v>
      </c>
      <c r="E3" t="str">
        <f>TEXT(tblInputSheet[[#This Row],[Sl.No]], "000")&amp; ":"&amp; tblInputSheet[[#This Row],[Process]]</f>
        <v>001:Claim Adjudication</v>
      </c>
      <c r="F3" s="7" t="str">
        <f>IFERROR(IF(tblInputSheet[[#This Row],[Process]] = "", "", REPT("*",Demo!$A3)&amp;""&amp;tblInputSheet[[#This Row],[Process]]), "")</f>
        <v>Claim Adjudication</v>
      </c>
      <c r="G3" t="str">
        <f>IFERROR(IF(tblInputSheet[[#This Row],[Hosted Platform]] = "-", "", VLOOKUP(tblInputSheet[[#This Row],[Hosted Platform]], tblHosted_PlatformOwner[], 2,FALSE)), "")</f>
        <v>CC000</v>
      </c>
      <c r="H3" s="7" t="str">
        <f>IFERROR(IF(tblInputSheet[[#This Row],[Hosted Platform]] = "-", "", VLOOKUP(tblInputSheet[[#This Row],[Hosted Platform]], tblHosted_PlatformOwner[], 1,FALSE)), "")</f>
        <v>Business Process</v>
      </c>
      <c r="I3" t="str">
        <f>IFERROR(IF(tblInputSheet[[#This Row],[Provider]] = "-", "", VLOOKUP(tblInputSheet[[#This Row],[Provider]], tblParticipants[], 2,FALSE)), "")</f>
        <v>PP000</v>
      </c>
      <c r="J3" s="7" t="str">
        <f>IFERROR(IF(tblInputSheet[[#This Row],[Provider]] = "-", "", VLOOKUP(tblInputSheet[[#This Row],[Provider]], tblParticipants[], 1,FALSE)), "")</f>
        <v>NA</v>
      </c>
      <c r="K3" t="str">
        <f>IFERROR(IF(tblInputSheet[[#This Row],[Consumer]] = "-", "", VLOOKUP(tblInputSheet[[#This Row],[Consumer]], tblParticipants[], 2,FALSE)), "")</f>
        <v>PP000</v>
      </c>
      <c r="L3" s="7" t="str">
        <f>IFERROR(IF(tblInputSheet[[#This Row],[Consumer]] = "-", "", VLOOKUP(tblInputSheet[[#This Row],[Consumer]], tblParticipants[], 1,FALSE)), "")</f>
        <v>NA</v>
      </c>
      <c r="M3" t="str">
        <f>IFERROR(IF(tblInputSheet[[#This Row],[Integration Pattern]] = "-", "", VLOOKUP(tblInputSheet[[#This Row],[Integration Pattern]], tblIntegrationPartten[], 2,FALSE)), "")</f>
        <v>IP000</v>
      </c>
      <c r="N3" s="7" t="str">
        <f>IFERROR(IF(tblInputSheet[[#This Row],[Integration Pattern]] = "-", "", VLOOKUP(tblInputSheet[[#This Row],[Integration Pattern]], tblIntegrationPartten[], 1,FALSE)), "")</f>
        <v>Group</v>
      </c>
      <c r="O3" t="str">
        <f>tblDisplaySheet[[#This Row],[Current State]]</f>
        <v>Y</v>
      </c>
      <c r="P3" t="str">
        <f>tblDisplaySheet[[#This Row],[Confidence Factor]]</f>
        <v>Group</v>
      </c>
      <c r="Q3">
        <f>tblDisplaySheet[[#This Row],[Count of Invocations]]</f>
        <v>0</v>
      </c>
      <c r="R3">
        <f>tblDisplaySheet[[#This Row],[DB Calls (ms)]]</f>
        <v>0</v>
      </c>
      <c r="S3">
        <f>tblDisplaySheet[[#This Row],[Logic (ms)]]</f>
        <v>0</v>
      </c>
      <c r="T3">
        <f>tblDisplaySheet[[#This Row],[Rules (ms)]]</f>
        <v>0</v>
      </c>
      <c r="U3">
        <f>tblDisplaySheet[[#This Row],[Latency (ms)]]</f>
        <v>0</v>
      </c>
      <c r="V3">
        <f>tblDisplaySheet[[#This Row],[Total Process Path Length]]</f>
        <v>4334</v>
      </c>
      <c r="W3">
        <f>tblDisplaySheet[[#This Row],[Total Process Time]]</f>
        <v>0</v>
      </c>
      <c r="X3">
        <f>tblDisplaySheet[[#This Row],[Total Process Path Length]]</f>
        <v>4334</v>
      </c>
      <c r="Y3">
        <f>tblDisplaySheet[[#This Row],[Process NFR]]</f>
        <v>3000</v>
      </c>
      <c r="Z3" s="7">
        <f>tblDisplaySheet[[#This Row],[Total Process NFR]]</f>
        <v>0</v>
      </c>
      <c r="AA3">
        <f>tblDisplaySheet[[#This Row],[Total Process Path Length NFR]]</f>
        <v>4743</v>
      </c>
      <c r="AB3" t="str">
        <f>tblDisplaySheet[[#This Row],[Status]]</f>
        <v>On Target</v>
      </c>
      <c r="AC3" s="7" t="str">
        <f>tblDisplaySheet[[#This Row],[Status]]</f>
        <v>On Target</v>
      </c>
      <c r="AD3" t="str">
        <f>tblDisplaySheet[[#This Row],[Is Leaf?]]</f>
        <v>G</v>
      </c>
      <c r="AE3" s="7" t="str">
        <f>tblDisplaySheet[[#This Row],[Owner]]</f>
        <v>JB</v>
      </c>
    </row>
    <row r="4" spans="1:31" x14ac:dyDescent="0.25">
      <c r="A4">
        <f>tblDisplaySheet[[#This Row],[Link]]</f>
        <v>1</v>
      </c>
      <c r="B4">
        <f>tblDisplaySheet[[#This Row],[Level]]</f>
        <v>1</v>
      </c>
      <c r="C4">
        <f>tblDisplaySheet[[#This Row],[Sl.No]]</f>
        <v>2</v>
      </c>
      <c r="D4" t="str">
        <f>tblDisplaySheet[[#This Row],[Group]]</f>
        <v>RTIS</v>
      </c>
      <c r="E4" t="str">
        <f>TEXT(tblInputSheet[[#This Row],[Sl.No]], "000")&amp; ":"&amp; tblInputSheet[[#This Row],[Process]]</f>
        <v>002:RTIS</v>
      </c>
      <c r="F4" s="7" t="str">
        <f>IFERROR(IF(tblInputSheet[[#This Row],[Process]] = "", "", REPT("*",Demo!$A4)&amp;""&amp;tblInputSheet[[#This Row],[Process]]), "")</f>
        <v>*RTIS</v>
      </c>
      <c r="G4" t="str">
        <f>IFERROR(IF(tblInputSheet[[#This Row],[Hosted Platform]] = "-", "", VLOOKUP(tblInputSheet[[#This Row],[Hosted Platform]], tblHosted_PlatformOwner[], 2,FALSE)), "")</f>
        <v>CC004</v>
      </c>
      <c r="H4" s="7" t="str">
        <f>IFERROR(IF(tblInputSheet[[#This Row],[Hosted Platform]] = "-", "", VLOOKUP(tblInputSheet[[#This Row],[Hosted Platform]], tblHosted_PlatformOwner[], 1,FALSE)), "")</f>
        <v>Legacy BC</v>
      </c>
      <c r="I4" t="str">
        <f>IFERROR(IF(tblInputSheet[[#This Row],[Provider]] = "-", "", VLOOKUP(tblInputSheet[[#This Row],[Provider]], tblParticipants[], 2,FALSE)), "")</f>
        <v>PP004</v>
      </c>
      <c r="J4" s="7" t="str">
        <f>IFERROR(IF(tblInputSheet[[#This Row],[Provider]] = "-", "", VLOOKUP(tblInputSheet[[#This Row],[Provider]], tblParticipants[], 1,FALSE)), "")</f>
        <v>Claims-Legacy</v>
      </c>
      <c r="K4" t="str">
        <f>IFERROR(IF(tblInputSheet[[#This Row],[Consumer]] = "-", "", VLOOKUP(tblInputSheet[[#This Row],[Consumer]], tblParticipants[], 2,FALSE)), "")</f>
        <v>PP004</v>
      </c>
      <c r="L4" s="7" t="str">
        <f>IFERROR(IF(tblInputSheet[[#This Row],[Consumer]] = "-", "", VLOOKUP(tblInputSheet[[#This Row],[Consumer]], tblParticipants[], 1,FALSE)), "")</f>
        <v>Claims-Legacy</v>
      </c>
      <c r="M4" t="str">
        <f>IFERROR(IF(tblInputSheet[[#This Row],[Integration Pattern]] = "-", "", VLOOKUP(tblInputSheet[[#This Row],[Integration Pattern]], tblIntegrationPartten[], 2,FALSE)), "")</f>
        <v>IP010</v>
      </c>
      <c r="N4" s="7" t="str">
        <f>IFERROR(IF(tblInputSheet[[#This Row],[Integration Pattern]] = "-", "", VLOOKUP(tblInputSheet[[#This Row],[Integration Pattern]], tblIntegrationPartten[], 1,FALSE)), "")</f>
        <v>BC Internal</v>
      </c>
      <c r="O4" t="str">
        <f>tblDisplaySheet[[#This Row],[Current State]]</f>
        <v>Y</v>
      </c>
      <c r="P4" t="str">
        <f>tblDisplaySheet[[#This Row],[Confidence Factor]]</f>
        <v>Group</v>
      </c>
      <c r="Q4">
        <f>tblDisplaySheet[[#This Row],[Count of Invocations]]</f>
        <v>1</v>
      </c>
      <c r="R4">
        <f>tblDisplaySheet[[#This Row],[DB Calls (ms)]]</f>
        <v>0</v>
      </c>
      <c r="S4">
        <f>tblDisplaySheet[[#This Row],[Logic (ms)]]</f>
        <v>0</v>
      </c>
      <c r="T4">
        <f>tblDisplaySheet[[#This Row],[Rules (ms)]]</f>
        <v>0</v>
      </c>
      <c r="U4">
        <f>tblDisplaySheet[[#This Row],[Latency (ms)]]</f>
        <v>0</v>
      </c>
      <c r="V4">
        <f>tblDisplaySheet[[#This Row],[Total Process Path Length]]</f>
        <v>4334</v>
      </c>
      <c r="W4">
        <f>tblDisplaySheet[[#This Row],[Total Process Time]]</f>
        <v>0</v>
      </c>
      <c r="X4">
        <f>tblDisplaySheet[[#This Row],[Total Process Path Length]]</f>
        <v>4334</v>
      </c>
      <c r="Y4">
        <f>tblDisplaySheet[[#This Row],[Process NFR]]</f>
        <v>0</v>
      </c>
      <c r="Z4" s="7">
        <f>tblDisplaySheet[[#This Row],[Total Process NFR]]</f>
        <v>0</v>
      </c>
      <c r="AA4">
        <f>tblDisplaySheet[[#This Row],[Total Process Path Length NFR]]</f>
        <v>4743</v>
      </c>
      <c r="AB4" t="str">
        <f>tblDisplaySheet[[#This Row],[Status]]</f>
        <v>On Target</v>
      </c>
      <c r="AC4" s="7" t="str">
        <f>tblDisplaySheet[[#This Row],[Status]]</f>
        <v>On Target</v>
      </c>
      <c r="AD4" t="str">
        <f>tblDisplaySheet[[#This Row],[Is Leaf?]]</f>
        <v>N</v>
      </c>
      <c r="AE4" s="6" t="str">
        <f>tblDisplaySheet[[#This Row],[Owner]]</f>
        <v>Alak</v>
      </c>
    </row>
    <row r="5" spans="1:31" x14ac:dyDescent="0.25">
      <c r="A5" s="6">
        <f>tblDisplaySheet[[#This Row],[Link]]</f>
        <v>2</v>
      </c>
      <c r="B5" s="6">
        <f>tblDisplaySheet[[#This Row],[Level]]</f>
        <v>2</v>
      </c>
      <c r="C5" s="6">
        <f>tblDisplaySheet[[#This Row],[Sl.No]]</f>
        <v>3</v>
      </c>
      <c r="D5" s="6" t="str">
        <f>tblDisplaySheet[[#This Row],[Group]]</f>
        <v>Eligibility</v>
      </c>
      <c r="E5" s="6" t="str">
        <f>TEXT(tblInputSheet[[#This Row],[Sl.No]], "000")&amp; ":"&amp; tblInputSheet[[#This Row],[Process]]</f>
        <v>003:Eligibility</v>
      </c>
      <c r="F5" s="6" t="str">
        <f>IFERROR(IF(tblInputSheet[[#This Row],[Process]] = "", "", REPT("*",Demo!$A5)&amp;""&amp;tblInputSheet[[#This Row],[Process]]), "")</f>
        <v>**Eligibility</v>
      </c>
      <c r="G5" s="6" t="str">
        <f>IFERROR(IF(tblInputSheet[[#This Row],[Hosted Platform]] = "-", "", VLOOKUP(tblInputSheet[[#This Row],[Hosted Platform]], tblHosted_PlatformOwner[], 2,FALSE)), "")</f>
        <v>CC000</v>
      </c>
      <c r="H5" s="6" t="str">
        <f>IFERROR(IF(tblInputSheet[[#This Row],[Hosted Platform]] = "-", "", VLOOKUP(tblInputSheet[[#This Row],[Hosted Platform]], tblHosted_PlatformOwner[], 1,FALSE)), "")</f>
        <v>Business Process</v>
      </c>
      <c r="I5" s="6" t="str">
        <f>IFERROR(IF(tblInputSheet[[#This Row],[Provider]] = "-", "", VLOOKUP(tblInputSheet[[#This Row],[Provider]], tblParticipants[], 2,FALSE)), "")</f>
        <v>PP000</v>
      </c>
      <c r="J5" s="6" t="str">
        <f>IFERROR(IF(tblInputSheet[[#This Row],[Provider]] = "-", "", VLOOKUP(tblInputSheet[[#This Row],[Provider]], tblParticipants[], 1,FALSE)), "")</f>
        <v>NA</v>
      </c>
      <c r="K5" t="str">
        <f>IFERROR(IF(tblInputSheet[[#This Row],[Consumer]] = "-", "", VLOOKUP(tblInputSheet[[#This Row],[Consumer]], tblParticipants[], 2,FALSE)), "")</f>
        <v>PP000</v>
      </c>
      <c r="L5" s="7" t="str">
        <f>IFERROR(IF(tblInputSheet[[#This Row],[Consumer]] = "-", "", VLOOKUP(tblInputSheet[[#This Row],[Consumer]], tblParticipants[], 1,FALSE)), "")</f>
        <v>NA</v>
      </c>
      <c r="M5" t="str">
        <f>IFERROR(IF(tblInputSheet[[#This Row],[Integration Pattern]] = "-", "", VLOOKUP(tblInputSheet[[#This Row],[Integration Pattern]], tblIntegrationPartten[], 2,FALSE)), "")</f>
        <v>IP003</v>
      </c>
      <c r="N5" s="7" t="str">
        <f>IFERROR(IF(tblInputSheet[[#This Row],[Integration Pattern]] = "-", "", VLOOKUP(tblInputSheet[[#This Row],[Integration Pattern]], tblIntegrationPartten[], 1,FALSE)), "")</f>
        <v>ESB - MQ Integration</v>
      </c>
      <c r="O5" t="str">
        <f>tblDisplaySheet[[#This Row],[Current State]]</f>
        <v>Y</v>
      </c>
      <c r="P5" t="str">
        <f>tblDisplaySheet[[#This Row],[Confidence Factor]]</f>
        <v>Group</v>
      </c>
      <c r="Q5">
        <f>tblDisplaySheet[[#This Row],[Count of Invocations]]</f>
        <v>1</v>
      </c>
      <c r="R5">
        <f>tblDisplaySheet[[#This Row],[DB Calls (ms)]]</f>
        <v>0</v>
      </c>
      <c r="S5">
        <f>tblDisplaySheet[[#This Row],[Logic (ms)]]</f>
        <v>0</v>
      </c>
      <c r="T5">
        <f>tblDisplaySheet[[#This Row],[Rules (ms)]]</f>
        <v>0</v>
      </c>
      <c r="U5">
        <f>tblDisplaySheet[[#This Row],[Latency (ms)]]</f>
        <v>0</v>
      </c>
      <c r="V5">
        <f>tblDisplaySheet[[#This Row],[Total Process Path Length]]</f>
        <v>202</v>
      </c>
      <c r="W5">
        <f>tblDisplaySheet[[#This Row],[Total Process Time]]</f>
        <v>0</v>
      </c>
      <c r="X5">
        <f>tblDisplaySheet[[#This Row],[Total Process Path Length]]</f>
        <v>202</v>
      </c>
      <c r="Y5">
        <f>tblDisplaySheet[[#This Row],[Process NFR]]</f>
        <v>0</v>
      </c>
      <c r="Z5" s="7">
        <f>tblDisplaySheet[[#This Row],[Total Process NFR]]</f>
        <v>0</v>
      </c>
      <c r="AA5">
        <f>tblDisplaySheet[[#This Row],[Total Process Path Length NFR]]</f>
        <v>260</v>
      </c>
      <c r="AB5" t="str">
        <f>tblDisplaySheet[[#This Row],[Status]]</f>
        <v>On Target</v>
      </c>
      <c r="AC5" s="7" t="str">
        <f>tblDisplaySheet[[#This Row],[Status]]</f>
        <v>On Target</v>
      </c>
      <c r="AD5" t="str">
        <f>tblDisplaySheet[[#This Row],[Is Leaf?]]</f>
        <v>G</v>
      </c>
      <c r="AE5" s="6" t="str">
        <f>tblDisplaySheet[[#This Row],[Owner]]</f>
        <v>Alak</v>
      </c>
    </row>
    <row r="6" spans="1:31" x14ac:dyDescent="0.25">
      <c r="A6" s="6">
        <f>tblDisplaySheet[[#This Row],[Link]]</f>
        <v>3</v>
      </c>
      <c r="B6" s="6">
        <f>tblDisplaySheet[[#This Row],[Level]]</f>
        <v>3</v>
      </c>
      <c r="C6" s="6">
        <f>tblDisplaySheet[[#This Row],[Sl.No]]</f>
        <v>4</v>
      </c>
      <c r="D6" s="6" t="str">
        <f>tblDisplaySheet[[#This Row],[Group]]</f>
        <v>Eligibility</v>
      </c>
      <c r="E6" s="6" t="str">
        <f>TEXT(tblInputSheet[[#This Row],[Sl.No]], "000")&amp; ":"&amp; tblInputSheet[[#This Row],[Process]]</f>
        <v>004:Eligibility Mainline</v>
      </c>
      <c r="F6" s="6" t="str">
        <f>IFERROR(IF(tblInputSheet[[#This Row],[Process]] = "", "", REPT("*",Demo!$A6)&amp;""&amp;tblInputSheet[[#This Row],[Process]]), "")</f>
        <v>***Eligibility Mainline</v>
      </c>
      <c r="G6" s="6" t="str">
        <f>IFERROR(IF(tblInputSheet[[#This Row],[Hosted Platform]] = "-", "", VLOOKUP(tblInputSheet[[#This Row],[Hosted Platform]], tblHosted_PlatformOwner[], 2,FALSE)), "")</f>
        <v>CC004</v>
      </c>
      <c r="H6" s="6" t="str">
        <f>IFERROR(IF(tblInputSheet[[#This Row],[Hosted Platform]] = "-", "", VLOOKUP(tblInputSheet[[#This Row],[Hosted Platform]], tblHosted_PlatformOwner[], 1,FALSE)), "")</f>
        <v>Legacy BC</v>
      </c>
      <c r="I6" s="6" t="str">
        <f>IFERROR(IF(tblInputSheet[[#This Row],[Provider]] = "-", "", VLOOKUP(tblInputSheet[[#This Row],[Provider]], tblParticipants[], 2,FALSE)), "")</f>
        <v>PP004</v>
      </c>
      <c r="J6" s="6" t="str">
        <f>IFERROR(IF(tblInputSheet[[#This Row],[Provider]] = "-", "", VLOOKUP(tblInputSheet[[#This Row],[Provider]], tblParticipants[], 1,FALSE)), "")</f>
        <v>Claims-Legacy</v>
      </c>
      <c r="K6" s="6" t="str">
        <f>IFERROR(IF(tblInputSheet[[#This Row],[Consumer]] = "-", "", VLOOKUP(tblInputSheet[[#This Row],[Consumer]], tblParticipants[], 2,FALSE)), "")</f>
        <v>PP004</v>
      </c>
      <c r="L6" s="6" t="str">
        <f>IFERROR(IF(tblInputSheet[[#This Row],[Consumer]] = "-", "", VLOOKUP(tblInputSheet[[#This Row],[Consumer]], tblParticipants[], 1,FALSE)), "")</f>
        <v>Claims-Legacy</v>
      </c>
      <c r="M6" s="6" t="str">
        <f>IFERROR(IF(tblInputSheet[[#This Row],[Integration Pattern]] = "-", "", VLOOKUP(tblInputSheet[[#This Row],[Integration Pattern]], tblIntegrationPartten[], 2,FALSE)), "")</f>
        <v>IP010</v>
      </c>
      <c r="N6" s="6" t="str">
        <f>IFERROR(IF(tblInputSheet[[#This Row],[Integration Pattern]] = "-", "", VLOOKUP(tblInputSheet[[#This Row],[Integration Pattern]], tblIntegrationPartten[], 1,FALSE)), "")</f>
        <v>BC Internal</v>
      </c>
      <c r="O6" s="6" t="str">
        <f>tblDisplaySheet[[#This Row],[Current State]]</f>
        <v>Y</v>
      </c>
      <c r="P6" s="6" t="str">
        <f>tblDisplaySheet[[#This Row],[Confidence Factor]]</f>
        <v>High</v>
      </c>
      <c r="Q6" s="6">
        <f>tblDisplaySheet[[#This Row],[Count of Invocations]]</f>
        <v>1</v>
      </c>
      <c r="R6" s="6">
        <f>tblDisplaySheet[[#This Row],[DB Calls (ms)]]</f>
        <v>0</v>
      </c>
      <c r="S6" s="6">
        <f>tblDisplaySheet[[#This Row],[Logic (ms)]]</f>
        <v>10</v>
      </c>
      <c r="T6" s="6">
        <f>tblDisplaySheet[[#This Row],[Rules (ms)]]</f>
        <v>0</v>
      </c>
      <c r="U6" s="6">
        <f>tblDisplaySheet[[#This Row],[Latency (ms)]]</f>
        <v>0</v>
      </c>
      <c r="V6" s="6">
        <f>tblDisplaySheet[[#This Row],[Total Process Path Length]]</f>
        <v>202</v>
      </c>
      <c r="W6" s="6">
        <f>tblDisplaySheet[[#This Row],[Total Process Time]]</f>
        <v>10</v>
      </c>
      <c r="X6" s="6">
        <f>tblDisplaySheet[[#This Row],[Total Process Path Length]]</f>
        <v>202</v>
      </c>
      <c r="Y6" s="6">
        <f>tblDisplaySheet[[#This Row],[Process NFR]]</f>
        <v>20</v>
      </c>
      <c r="Z6" s="6">
        <f>tblDisplaySheet[[#This Row],[Total Process NFR]]</f>
        <v>20</v>
      </c>
      <c r="AA6" s="6">
        <f>tblDisplaySheet[[#This Row],[Total Process Path Length NFR]]</f>
        <v>260</v>
      </c>
      <c r="AB6" s="6" t="str">
        <f>tblDisplaySheet[[#This Row],[Status]]</f>
        <v>On Target</v>
      </c>
      <c r="AC6" s="6" t="str">
        <f>tblDisplaySheet[[#This Row],[Status]]</f>
        <v>On Target</v>
      </c>
      <c r="AD6" s="6" t="str">
        <f>tblDisplaySheet[[#This Row],[Is Leaf?]]</f>
        <v>N</v>
      </c>
      <c r="AE6" s="6" t="str">
        <f>tblDisplaySheet[[#This Row],[Owner]]</f>
        <v>Alak</v>
      </c>
    </row>
    <row r="7" spans="1:31" x14ac:dyDescent="0.25">
      <c r="A7" s="6">
        <f>tblDisplaySheet[[#This Row],[Link]]</f>
        <v>4</v>
      </c>
      <c r="B7" s="6">
        <f>tblDisplaySheet[[#This Row],[Level]]</f>
        <v>4</v>
      </c>
      <c r="C7" s="6">
        <f>tblDisplaySheet[[#This Row],[Sl.No]]</f>
        <v>5</v>
      </c>
      <c r="D7" s="6" t="str">
        <f>tblDisplaySheet[[#This Row],[Group]]</f>
        <v>Eligibility</v>
      </c>
      <c r="E7" s="6" t="str">
        <f>TEXT(tblInputSheet[[#This Row],[Sl.No]], "000")&amp; ":"&amp; tblInputSheet[[#This Row],[Process]]</f>
        <v>005:Mule Eligibility Adapter</v>
      </c>
      <c r="F7" s="6" t="str">
        <f>IFERROR(IF(tblInputSheet[[#This Row],[Process]] = "", "", REPT("*",Demo!$A7)&amp;""&amp;tblInputSheet[[#This Row],[Process]]), "")</f>
        <v>****Mule Eligibility Adapter</v>
      </c>
      <c r="G7" s="6" t="str">
        <f>IFERROR(IF(tblInputSheet[[#This Row],[Hosted Platform]] = "-", "", VLOOKUP(tblInputSheet[[#This Row],[Hosted Platform]], tblHosted_PlatformOwner[], 2,FALSE)), "")</f>
        <v>CC002</v>
      </c>
      <c r="H7" s="6" t="str">
        <f>IFERROR(IF(tblInputSheet[[#This Row],[Hosted Platform]] = "-", "", VLOOKUP(tblInputSheet[[#This Row],[Hosted Platform]], tblHosted_PlatformOwner[], 1,FALSE)), "")</f>
        <v>Mule ESB</v>
      </c>
      <c r="I7" s="6" t="str">
        <f>IFERROR(IF(tblInputSheet[[#This Row],[Provider]] = "-", "", VLOOKUP(tblInputSheet[[#This Row],[Provider]], tblParticipants[], 2,FALSE)), "")</f>
        <v>PP001</v>
      </c>
      <c r="J7" s="6" t="str">
        <f>IFERROR(IF(tblInputSheet[[#This Row],[Provider]] = "-", "", VLOOKUP(tblInputSheet[[#This Row],[Provider]], tblParticipants[], 1,FALSE)), "")</f>
        <v>Key-Claims Adjudication</v>
      </c>
      <c r="K7" s="6" t="str">
        <f>IFERROR(IF(tblInputSheet[[#This Row],[Consumer]] = "-", "", VLOOKUP(tblInputSheet[[#This Row],[Consumer]], tblParticipants[], 2,FALSE)), "")</f>
        <v>PP001</v>
      </c>
      <c r="L7" s="6" t="str">
        <f>IFERROR(IF(tblInputSheet[[#This Row],[Consumer]] = "-", "", VLOOKUP(tblInputSheet[[#This Row],[Consumer]], tblParticipants[], 1,FALSE)), "")</f>
        <v>Key-Claims Adjudication</v>
      </c>
      <c r="M7" s="6" t="str">
        <f>IFERROR(IF(tblInputSheet[[#This Row],[Integration Pattern]] = "-", "", VLOOKUP(tblInputSheet[[#This Row],[Integration Pattern]], tblIntegrationPartten[], 2,FALSE)), "")</f>
        <v>IP003</v>
      </c>
      <c r="N7" s="6" t="str">
        <f>IFERROR(IF(tblInputSheet[[#This Row],[Integration Pattern]] = "-", "", VLOOKUP(tblInputSheet[[#This Row],[Integration Pattern]], tblIntegrationPartten[], 1,FALSE)), "")</f>
        <v>ESB - MQ Integration</v>
      </c>
      <c r="O7" s="6" t="str">
        <f>tblDisplaySheet[[#This Row],[Current State]]</f>
        <v>Y</v>
      </c>
      <c r="P7" s="6" t="str">
        <f>tblDisplaySheet[[#This Row],[Confidence Factor]]</f>
        <v>High</v>
      </c>
      <c r="Q7" s="6">
        <f>tblDisplaySheet[[#This Row],[Count of Invocations]]</f>
        <v>1</v>
      </c>
      <c r="R7" s="6">
        <f>tblDisplaySheet[[#This Row],[DB Calls (ms)]]</f>
        <v>0</v>
      </c>
      <c r="S7" s="6">
        <f>tblDisplaySheet[[#This Row],[Logic (ms)]]</f>
        <v>16</v>
      </c>
      <c r="T7" s="6">
        <f>tblDisplaySheet[[#This Row],[Rules (ms)]]</f>
        <v>0</v>
      </c>
      <c r="U7" s="6">
        <f>tblDisplaySheet[[#This Row],[Latency (ms)]]</f>
        <v>15</v>
      </c>
      <c r="V7" s="6">
        <f>tblDisplaySheet[[#This Row],[Total Process Path Length]]</f>
        <v>192</v>
      </c>
      <c r="W7" s="6">
        <f>tblDisplaySheet[[#This Row],[Total Process Time]]</f>
        <v>31</v>
      </c>
      <c r="X7" s="6">
        <f>tblDisplaySheet[[#This Row],[Total Process Path Length]]</f>
        <v>192</v>
      </c>
      <c r="Y7" s="6">
        <f>tblDisplaySheet[[#This Row],[Process NFR]]</f>
        <v>40</v>
      </c>
      <c r="Z7" s="6">
        <f>tblDisplaySheet[[#This Row],[Total Process NFR]]</f>
        <v>40</v>
      </c>
      <c r="AA7" s="6">
        <f>tblDisplaySheet[[#This Row],[Total Process Path Length NFR]]</f>
        <v>240</v>
      </c>
      <c r="AB7" s="6" t="str">
        <f>tblDisplaySheet[[#This Row],[Status]]</f>
        <v>On Target</v>
      </c>
      <c r="AC7" s="6" t="str">
        <f>tblDisplaySheet[[#This Row],[Status]]</f>
        <v>On Target</v>
      </c>
      <c r="AD7" s="6" t="str">
        <f>tblDisplaySheet[[#This Row],[Is Leaf?]]</f>
        <v>N</v>
      </c>
      <c r="AE7" s="6" t="str">
        <f>tblDisplaySheet[[#This Row],[Owner]]</f>
        <v>Alak</v>
      </c>
    </row>
    <row r="8" spans="1:31" x14ac:dyDescent="0.25">
      <c r="A8" s="6">
        <f>tblDisplaySheet[[#This Row],[Link]]</f>
        <v>5</v>
      </c>
      <c r="B8" s="6">
        <f>tblDisplaySheet[[#This Row],[Level]]</f>
        <v>5</v>
      </c>
      <c r="C8" s="6">
        <f>tblDisplaySheet[[#This Row],[Sl.No]]</f>
        <v>6</v>
      </c>
      <c r="D8" s="6" t="str">
        <f>tblDisplaySheet[[#This Row],[Group]]</f>
        <v>Eligibility</v>
      </c>
      <c r="E8" s="6" t="str">
        <f>TEXT(tblInputSheet[[#This Row],[Sl.No]], "000")&amp; ":"&amp; tblInputSheet[[#This Row],[Process]]</f>
        <v>006:Eligibility Orchestrator</v>
      </c>
      <c r="F8" s="6" t="str">
        <f>IFERROR(IF(tblInputSheet[[#This Row],[Process]] = "", "", REPT("*",Demo!$A8)&amp;""&amp;tblInputSheet[[#This Row],[Process]]), "")</f>
        <v>*****Eligibility Orchestrator</v>
      </c>
      <c r="G8" s="6" t="str">
        <f>IFERROR(IF(tblInputSheet[[#This Row],[Hosted Platform]] = "-", "", VLOOKUP(tblInputSheet[[#This Row],[Hosted Platform]], tblHosted_PlatformOwner[], 2,FALSE)), "")</f>
        <v>CC001</v>
      </c>
      <c r="H8" s="6" t="str">
        <f>IFERROR(IF(tblInputSheet[[#This Row],[Hosted Platform]] = "-", "", VLOOKUP(tblInputSheet[[#This Row],[Hosted Platform]], tblHosted_PlatformOwner[], 1,FALSE)), "")</f>
        <v>PCF</v>
      </c>
      <c r="I8" s="6" t="str">
        <f>IFERROR(IF(tblInputSheet[[#This Row],[Provider]] = "-", "", VLOOKUP(tblInputSheet[[#This Row],[Provider]], tblParticipants[], 2,FALSE)), "")</f>
        <v>PP001</v>
      </c>
      <c r="J8" s="6" t="str">
        <f>IFERROR(IF(tblInputSheet[[#This Row],[Provider]] = "-", "", VLOOKUP(tblInputSheet[[#This Row],[Provider]], tblParticipants[], 1,FALSE)), "")</f>
        <v>Key-Claims Adjudication</v>
      </c>
      <c r="K8" s="6" t="str">
        <f>IFERROR(IF(tblInputSheet[[#This Row],[Consumer]] = "-", "", VLOOKUP(tblInputSheet[[#This Row],[Consumer]], tblParticipants[], 2,FALSE)), "")</f>
        <v>PP001</v>
      </c>
      <c r="L8" s="6" t="str">
        <f>IFERROR(IF(tblInputSheet[[#This Row],[Consumer]] = "-", "", VLOOKUP(tblInputSheet[[#This Row],[Consumer]], tblParticipants[], 1,FALSE)), "")</f>
        <v>Key-Claims Adjudication</v>
      </c>
      <c r="M8" s="6" t="str">
        <f>IFERROR(IF(tblInputSheet[[#This Row],[Integration Pattern]] = "-", "", VLOOKUP(tblInputSheet[[#This Row],[Integration Pattern]], tblIntegrationPartten[], 2,FALSE)), "")</f>
        <v>IP001</v>
      </c>
      <c r="N8" s="6" t="str">
        <f>IFERROR(IF(tblInputSheet[[#This Row],[Integration Pattern]] = "-", "", VLOOKUP(tblInputSheet[[#This Row],[Integration Pattern]], tblIntegrationPartten[], 1,FALSE)), "")</f>
        <v>PCF Internal (C-to-C)</v>
      </c>
      <c r="O8" s="6" t="str">
        <f>tblDisplaySheet[[#This Row],[Current State]]</f>
        <v>Y</v>
      </c>
      <c r="P8" s="6" t="str">
        <f>tblDisplaySheet[[#This Row],[Confidence Factor]]</f>
        <v>High</v>
      </c>
      <c r="Q8" s="6">
        <f>tblDisplaySheet[[#This Row],[Count of Invocations]]</f>
        <v>1</v>
      </c>
      <c r="R8" s="6">
        <f>tblDisplaySheet[[#This Row],[DB Calls (ms)]]</f>
        <v>0</v>
      </c>
      <c r="S8" s="6">
        <f>tblDisplaySheet[[#This Row],[Logic (ms)]]</f>
        <v>5</v>
      </c>
      <c r="T8" s="6">
        <f>tblDisplaySheet[[#This Row],[Rules (ms)]]</f>
        <v>0</v>
      </c>
      <c r="U8" s="6">
        <f>tblDisplaySheet[[#This Row],[Latency (ms)]]</f>
        <v>5</v>
      </c>
      <c r="V8" s="6">
        <f>tblDisplaySheet[[#This Row],[Total Process Path Length]]</f>
        <v>161</v>
      </c>
      <c r="W8" s="6">
        <f>tblDisplaySheet[[#This Row],[Total Process Time]]</f>
        <v>10</v>
      </c>
      <c r="X8" s="6">
        <f>tblDisplaySheet[[#This Row],[Total Process Path Length]]</f>
        <v>161</v>
      </c>
      <c r="Y8" s="6">
        <f>tblDisplaySheet[[#This Row],[Process NFR]]</f>
        <v>20</v>
      </c>
      <c r="Z8" s="6">
        <f>tblDisplaySheet[[#This Row],[Total Process NFR]]</f>
        <v>20</v>
      </c>
      <c r="AA8" s="6">
        <f>tblDisplaySheet[[#This Row],[Total Process Path Length NFR]]</f>
        <v>200</v>
      </c>
      <c r="AB8" s="6" t="str">
        <f>tblDisplaySheet[[#This Row],[Status]]</f>
        <v>On Target</v>
      </c>
      <c r="AC8" s="6" t="str">
        <f>tblDisplaySheet[[#This Row],[Status]]</f>
        <v>On Target</v>
      </c>
      <c r="AD8" s="6" t="str">
        <f>tblDisplaySheet[[#This Row],[Is Leaf?]]</f>
        <v>N</v>
      </c>
      <c r="AE8" s="6" t="str">
        <f>tblDisplaySheet[[#This Row],[Owner]]</f>
        <v>Alak</v>
      </c>
    </row>
    <row r="9" spans="1:31" x14ac:dyDescent="0.25">
      <c r="A9" s="6">
        <f>tblDisplaySheet[[#This Row],[Link]]</f>
        <v>6</v>
      </c>
      <c r="B9" s="6">
        <f>tblDisplaySheet[[#This Row],[Level]]</f>
        <v>6</v>
      </c>
      <c r="C9" s="6">
        <f>tblDisplaySheet[[#This Row],[Sl.No]]</f>
        <v>7</v>
      </c>
      <c r="D9" s="6" t="str">
        <f>tblDisplaySheet[[#This Row],[Group]]</f>
        <v>Eligibility</v>
      </c>
      <c r="E9" s="6" t="str">
        <f>TEXT(tblInputSheet[[#This Row],[Sl.No]], "000")&amp; ":"&amp; tblInputSheet[[#This Row],[Process]]</f>
        <v>007:Member Match &amp; Eligibility Microservice</v>
      </c>
      <c r="F9" s="6" t="str">
        <f>IFERROR(IF(tblInputSheet[[#This Row],[Process]] = "", "", REPT("*",Demo!$A9)&amp;""&amp;tblInputSheet[[#This Row],[Process]]), "")</f>
        <v>******Member Match &amp; Eligibility Microservice</v>
      </c>
      <c r="G9" s="6" t="str">
        <f>IFERROR(IF(tblInputSheet[[#This Row],[Hosted Platform]] = "-", "", VLOOKUP(tblInputSheet[[#This Row],[Hosted Platform]], tblHosted_PlatformOwner[], 2,FALSE)), "")</f>
        <v>CC001</v>
      </c>
      <c r="H9" s="6" t="str">
        <f>IFERROR(IF(tblInputSheet[[#This Row],[Hosted Platform]] = "-", "", VLOOKUP(tblInputSheet[[#This Row],[Hosted Platform]], tblHosted_PlatformOwner[], 1,FALSE)), "")</f>
        <v>PCF</v>
      </c>
      <c r="I9" s="6" t="str">
        <f>IFERROR(IF(tblInputSheet[[#This Row],[Provider]] = "-", "", VLOOKUP(tblInputSheet[[#This Row],[Provider]], tblParticipants[], 2,FALSE)), "")</f>
        <v>PP001</v>
      </c>
      <c r="J9" s="6" t="str">
        <f>IFERROR(IF(tblInputSheet[[#This Row],[Provider]] = "-", "", VLOOKUP(tblInputSheet[[#This Row],[Provider]], tblParticipants[], 1,FALSE)), "")</f>
        <v>Key-Claims Adjudication</v>
      </c>
      <c r="K9" s="6" t="str">
        <f>IFERROR(IF(tblInputSheet[[#This Row],[Consumer]] = "-", "", VLOOKUP(tblInputSheet[[#This Row],[Consumer]], tblParticipants[], 2,FALSE)), "")</f>
        <v>PP001</v>
      </c>
      <c r="L9" s="6" t="str">
        <f>IFERROR(IF(tblInputSheet[[#This Row],[Consumer]] = "-", "", VLOOKUP(tblInputSheet[[#This Row],[Consumer]], tblParticipants[], 1,FALSE)), "")</f>
        <v>Key-Claims Adjudication</v>
      </c>
      <c r="M9" s="6" t="str">
        <f>IFERROR(IF(tblInputSheet[[#This Row],[Integration Pattern]] = "-", "", VLOOKUP(tblInputSheet[[#This Row],[Integration Pattern]], tblIntegrationPartten[], 2,FALSE)), "")</f>
        <v>IP001</v>
      </c>
      <c r="N9" s="6" t="str">
        <f>IFERROR(IF(tblInputSheet[[#This Row],[Integration Pattern]] = "-", "", VLOOKUP(tblInputSheet[[#This Row],[Integration Pattern]], tblIntegrationPartten[], 1,FALSE)), "")</f>
        <v>PCF Internal (C-to-C)</v>
      </c>
      <c r="O9" s="6" t="str">
        <f>tblDisplaySheet[[#This Row],[Current State]]</f>
        <v>Y</v>
      </c>
      <c r="P9" s="6" t="str">
        <f>tblDisplaySheet[[#This Row],[Confidence Factor]]</f>
        <v>High</v>
      </c>
      <c r="Q9" s="6">
        <f>tblDisplaySheet[[#This Row],[Count of Invocations]]</f>
        <v>1</v>
      </c>
      <c r="R9" s="6">
        <f>tblDisplaySheet[[#This Row],[DB Calls (ms)]]</f>
        <v>0</v>
      </c>
      <c r="S9" s="6">
        <f>tblDisplaySheet[[#This Row],[Logic (ms)]]</f>
        <v>20</v>
      </c>
      <c r="T9" s="6">
        <f>tblDisplaySheet[[#This Row],[Rules (ms)]]</f>
        <v>0</v>
      </c>
      <c r="U9" s="6">
        <f>tblDisplaySheet[[#This Row],[Latency (ms)]]</f>
        <v>5</v>
      </c>
      <c r="V9" s="6">
        <f>tblDisplaySheet[[#This Row],[Total Process Path Length]]</f>
        <v>94</v>
      </c>
      <c r="W9" s="6">
        <f>tblDisplaySheet[[#This Row],[Total Process Time]]</f>
        <v>25</v>
      </c>
      <c r="X9" s="6">
        <f>tblDisplaySheet[[#This Row],[Total Process Path Length]]</f>
        <v>94</v>
      </c>
      <c r="Y9" s="6">
        <f>tblDisplaySheet[[#This Row],[Process NFR]]</f>
        <v>25</v>
      </c>
      <c r="Z9" s="6">
        <f>tblDisplaySheet[[#This Row],[Total Process NFR]]</f>
        <v>25</v>
      </c>
      <c r="AA9" s="6">
        <f>tblDisplaySheet[[#This Row],[Total Process Path Length NFR]]</f>
        <v>105</v>
      </c>
      <c r="AB9" s="6" t="str">
        <f>tblDisplaySheet[[#This Row],[Status]]</f>
        <v>On Target</v>
      </c>
      <c r="AC9" s="6" t="str">
        <f>tblDisplaySheet[[#This Row],[Status]]</f>
        <v>On Target</v>
      </c>
      <c r="AD9" s="6" t="str">
        <f>tblDisplaySheet[[#This Row],[Is Leaf?]]</f>
        <v>N</v>
      </c>
      <c r="AE9" s="6" t="str">
        <f>tblDisplaySheet[[#This Row],[Owner]]</f>
        <v>Alak</v>
      </c>
    </row>
    <row r="10" spans="1:31" x14ac:dyDescent="0.25">
      <c r="A10" s="6">
        <f>tblDisplaySheet[[#This Row],[Link]]</f>
        <v>7</v>
      </c>
      <c r="B10" s="6">
        <f>tblDisplaySheet[[#This Row],[Level]]</f>
        <v>7</v>
      </c>
      <c r="C10" s="6">
        <f>tblDisplaySheet[[#This Row],[Sl.No]]</f>
        <v>8</v>
      </c>
      <c r="D10" s="6" t="str">
        <f>tblDisplaySheet[[#This Row],[Group]]</f>
        <v>Eligibility</v>
      </c>
      <c r="E10" s="6" t="str">
        <f>TEXT(tblInputSheet[[#This Row],[Sl.No]], "000")&amp; ":"&amp; tblInputSheet[[#This Row],[Process]]</f>
        <v>008:Reference Lookup Microservice</v>
      </c>
      <c r="F10" s="6" t="str">
        <f>IFERROR(IF(tblInputSheet[[#This Row],[Process]] = "", "", REPT("*",Demo!$A10)&amp;""&amp;tblInputSheet[[#This Row],[Process]]), "")</f>
        <v>*******Reference Lookup Microservice</v>
      </c>
      <c r="G10" s="6" t="str">
        <f>IFERROR(IF(tblInputSheet[[#This Row],[Hosted Platform]] = "-", "", VLOOKUP(tblInputSheet[[#This Row],[Hosted Platform]], tblHosted_PlatformOwner[], 2,FALSE)), "")</f>
        <v>CC001</v>
      </c>
      <c r="H10" s="6" t="str">
        <f>IFERROR(IF(tblInputSheet[[#This Row],[Hosted Platform]] = "-", "", VLOOKUP(tblInputSheet[[#This Row],[Hosted Platform]], tblHosted_PlatformOwner[], 1,FALSE)), "")</f>
        <v>PCF</v>
      </c>
      <c r="I10" s="6" t="str">
        <f>IFERROR(IF(tblInputSheet[[#This Row],[Provider]] = "-", "", VLOOKUP(tblInputSheet[[#This Row],[Provider]], tblParticipants[], 2,FALSE)), "")</f>
        <v>PP001</v>
      </c>
      <c r="J10" s="6" t="str">
        <f>IFERROR(IF(tblInputSheet[[#This Row],[Provider]] = "-", "", VLOOKUP(tblInputSheet[[#This Row],[Provider]], tblParticipants[], 1,FALSE)), "")</f>
        <v>Key-Claims Adjudication</v>
      </c>
      <c r="K10" s="6" t="str">
        <f>IFERROR(IF(tblInputSheet[[#This Row],[Consumer]] = "-", "", VLOOKUP(tblInputSheet[[#This Row],[Consumer]], tblParticipants[], 2,FALSE)), "")</f>
        <v>PP001</v>
      </c>
      <c r="L10" s="6" t="str">
        <f>IFERROR(IF(tblInputSheet[[#This Row],[Consumer]] = "-", "", VLOOKUP(tblInputSheet[[#This Row],[Consumer]], tblParticipants[], 1,FALSE)), "")</f>
        <v>Key-Claims Adjudication</v>
      </c>
      <c r="M10" s="6" t="str">
        <f>IFERROR(IF(tblInputSheet[[#This Row],[Integration Pattern]] = "-", "", VLOOKUP(tblInputSheet[[#This Row],[Integration Pattern]], tblIntegrationPartten[], 2,FALSE)), "")</f>
        <v>IP001</v>
      </c>
      <c r="N10" s="6" t="str">
        <f>IFERROR(IF(tblInputSheet[[#This Row],[Integration Pattern]] = "-", "", VLOOKUP(tblInputSheet[[#This Row],[Integration Pattern]], tblIntegrationPartten[], 1,FALSE)), "")</f>
        <v>PCF Internal (C-to-C)</v>
      </c>
      <c r="O10" s="6" t="str">
        <f>tblDisplaySheet[[#This Row],[Current State]]</f>
        <v>Y</v>
      </c>
      <c r="P10" s="6" t="str">
        <f>tblDisplaySheet[[#This Row],[Confidence Factor]]</f>
        <v>Medium</v>
      </c>
      <c r="Q10" s="6">
        <f>tblDisplaySheet[[#This Row],[Count of Invocations]]</f>
        <v>1</v>
      </c>
      <c r="R10" s="6">
        <f>tblDisplaySheet[[#This Row],[DB Calls (ms)]]</f>
        <v>0</v>
      </c>
      <c r="S10" s="6">
        <f>tblDisplaySheet[[#This Row],[Logic (ms)]]</f>
        <v>1</v>
      </c>
      <c r="T10" s="6">
        <f>tblDisplaySheet[[#This Row],[Rules (ms)]]</f>
        <v>0</v>
      </c>
      <c r="U10" s="6">
        <f>tblDisplaySheet[[#This Row],[Latency (ms)]]</f>
        <v>5</v>
      </c>
      <c r="V10" s="6">
        <f>tblDisplaySheet[[#This Row],[Total Process Path Length]]</f>
        <v>6</v>
      </c>
      <c r="W10" s="6">
        <f>tblDisplaySheet[[#This Row],[Total Process Time]]</f>
        <v>6</v>
      </c>
      <c r="X10" s="6">
        <f>tblDisplaySheet[[#This Row],[Total Process Path Length]]</f>
        <v>6</v>
      </c>
      <c r="Y10" s="6">
        <f>tblDisplaySheet[[#This Row],[Process NFR]]</f>
        <v>10</v>
      </c>
      <c r="Z10" s="6">
        <f>tblDisplaySheet[[#This Row],[Total Process NFR]]</f>
        <v>10</v>
      </c>
      <c r="AA10" s="6">
        <f>tblDisplaySheet[[#This Row],[Total Process Path Length NFR]]</f>
        <v>10</v>
      </c>
      <c r="AB10" s="6" t="str">
        <f>tblDisplaySheet[[#This Row],[Status]]</f>
        <v>On Target</v>
      </c>
      <c r="AC10" s="6" t="str">
        <f>tblDisplaySheet[[#This Row],[Status]]</f>
        <v>On Target</v>
      </c>
      <c r="AD10" s="6" t="str">
        <f>tblDisplaySheet[[#This Row],[Is Leaf?]]</f>
        <v>Y</v>
      </c>
      <c r="AE10" s="6" t="str">
        <f>tblDisplaySheet[[#This Row],[Owner]]</f>
        <v>Alak</v>
      </c>
    </row>
    <row r="11" spans="1:31" x14ac:dyDescent="0.25">
      <c r="A11" s="6">
        <f>tblDisplaySheet[[#This Row],[Link]]</f>
        <v>7</v>
      </c>
      <c r="B11" s="6">
        <f>tblDisplaySheet[[#This Row],[Level]]</f>
        <v>7</v>
      </c>
      <c r="C11" s="6">
        <f>tblDisplaySheet[[#This Row],[Sl.No]]</f>
        <v>9</v>
      </c>
      <c r="D11" s="6" t="str">
        <f>tblDisplaySheet[[#This Row],[Group]]</f>
        <v>Eligibility</v>
      </c>
      <c r="E11" s="6" t="str">
        <f>TEXT(tblInputSheet[[#This Row],[Sl.No]], "000")&amp; ":"&amp; tblInputSheet[[#This Row],[Process]]</f>
        <v>009:Contract API</v>
      </c>
      <c r="F11" s="6" t="str">
        <f>IFERROR(IF(tblInputSheet[[#This Row],[Process]] = "", "", REPT("*",Demo!$A11)&amp;""&amp;tblInputSheet[[#This Row],[Process]]), "")</f>
        <v>*******Contract API</v>
      </c>
      <c r="G11" s="6" t="str">
        <f>IFERROR(IF(tblInputSheet[[#This Row],[Hosted Platform]] = "-", "", VLOOKUP(tblInputSheet[[#This Row],[Hosted Platform]], tblHosted_PlatformOwner[], 2,FALSE)), "")</f>
        <v>CC001</v>
      </c>
      <c r="H11" s="6" t="str">
        <f>IFERROR(IF(tblInputSheet[[#This Row],[Hosted Platform]] = "-", "", VLOOKUP(tblInputSheet[[#This Row],[Hosted Platform]], tblHosted_PlatformOwner[], 1,FALSE)), "")</f>
        <v>PCF</v>
      </c>
      <c r="I11" s="6" t="str">
        <f>IFERROR(IF(tblInputSheet[[#This Row],[Provider]] = "-", "", VLOOKUP(tblInputSheet[[#This Row],[Provider]], tblParticipants[], 2,FALSE)), "")</f>
        <v>PP001</v>
      </c>
      <c r="J11" s="6" t="str">
        <f>IFERROR(IF(tblInputSheet[[#This Row],[Provider]] = "-", "", VLOOKUP(tblInputSheet[[#This Row],[Provider]], tblParticipants[], 1,FALSE)), "")</f>
        <v>Key-Claims Adjudication</v>
      </c>
      <c r="K11" s="6" t="str">
        <f>IFERROR(IF(tblInputSheet[[#This Row],[Consumer]] = "-", "", VLOOKUP(tblInputSheet[[#This Row],[Consumer]], tblParticipants[], 2,FALSE)), "")</f>
        <v>PP001</v>
      </c>
      <c r="L11" s="6" t="str">
        <f>IFERROR(IF(tblInputSheet[[#This Row],[Consumer]] = "-", "", VLOOKUP(tblInputSheet[[#This Row],[Consumer]], tblParticipants[], 1,FALSE)), "")</f>
        <v>Key-Claims Adjudication</v>
      </c>
      <c r="M11" s="6" t="str">
        <f>IFERROR(IF(tblInputSheet[[#This Row],[Integration Pattern]] = "-", "", VLOOKUP(tblInputSheet[[#This Row],[Integration Pattern]], tblIntegrationPartten[], 2,FALSE)), "")</f>
        <v>IP001</v>
      </c>
      <c r="N11" s="6" t="str">
        <f>IFERROR(IF(tblInputSheet[[#This Row],[Integration Pattern]] = "-", "", VLOOKUP(tblInputSheet[[#This Row],[Integration Pattern]], tblIntegrationPartten[], 1,FALSE)), "")</f>
        <v>PCF Internal (C-to-C)</v>
      </c>
      <c r="O11" s="6" t="str">
        <f>tblDisplaySheet[[#This Row],[Current State]]</f>
        <v>Y</v>
      </c>
      <c r="P11" s="6" t="str">
        <f>tblDisplaySheet[[#This Row],[Confidence Factor]]</f>
        <v>Medium</v>
      </c>
      <c r="Q11" s="6">
        <f>tblDisplaySheet[[#This Row],[Count of Invocations]]</f>
        <v>1</v>
      </c>
      <c r="R11" s="6">
        <f>tblDisplaySheet[[#This Row],[DB Calls (ms)]]</f>
        <v>5</v>
      </c>
      <c r="S11" s="6">
        <f>tblDisplaySheet[[#This Row],[Logic (ms)]]</f>
        <v>30</v>
      </c>
      <c r="T11" s="6">
        <f>tblDisplaySheet[[#This Row],[Rules (ms)]]</f>
        <v>0</v>
      </c>
      <c r="U11" s="6">
        <f>tblDisplaySheet[[#This Row],[Latency (ms)]]</f>
        <v>10</v>
      </c>
      <c r="V11" s="6">
        <f>tblDisplaySheet[[#This Row],[Total Process Path Length]]</f>
        <v>45</v>
      </c>
      <c r="W11" s="6">
        <f>tblDisplaySheet[[#This Row],[Total Process Time]]</f>
        <v>45</v>
      </c>
      <c r="X11" s="6">
        <f>tblDisplaySheet[[#This Row],[Total Process Path Length]]</f>
        <v>45</v>
      </c>
      <c r="Y11" s="6">
        <f>tblDisplaySheet[[#This Row],[Process NFR]]</f>
        <v>50</v>
      </c>
      <c r="Z11" s="6">
        <f>tblDisplaySheet[[#This Row],[Total Process NFR]]</f>
        <v>50</v>
      </c>
      <c r="AA11" s="6">
        <f>tblDisplaySheet[[#This Row],[Total Process Path Length NFR]]</f>
        <v>50</v>
      </c>
      <c r="AB11" s="6" t="str">
        <f>tblDisplaySheet[[#This Row],[Status]]</f>
        <v>On Target</v>
      </c>
      <c r="AC11" s="6" t="str">
        <f>tblDisplaySheet[[#This Row],[Status]]</f>
        <v>On Target</v>
      </c>
      <c r="AD11" s="6" t="str">
        <f>tblDisplaySheet[[#This Row],[Is Leaf?]]</f>
        <v>Y</v>
      </c>
      <c r="AE11" s="6" t="str">
        <f>tblDisplaySheet[[#This Row],[Owner]]</f>
        <v>Greg</v>
      </c>
    </row>
    <row r="12" spans="1:31" x14ac:dyDescent="0.25">
      <c r="A12" s="6">
        <f>tblDisplaySheet[[#This Row],[Link]]</f>
        <v>7</v>
      </c>
      <c r="B12" s="6">
        <f>tblDisplaySheet[[#This Row],[Level]]</f>
        <v>7</v>
      </c>
      <c r="C12" s="6">
        <f>tblDisplaySheet[[#This Row],[Sl.No]]</f>
        <v>10</v>
      </c>
      <c r="D12" s="6" t="str">
        <f>tblDisplaySheet[[#This Row],[Group]]</f>
        <v>Eligibility</v>
      </c>
      <c r="E12" s="6" t="str">
        <f>TEXT(tblInputSheet[[#This Row],[Sl.No]], "000")&amp; ":"&amp; tblInputSheet[[#This Row],[Process]]</f>
        <v>010:Claim Member Microservice</v>
      </c>
      <c r="F12" s="6" t="str">
        <f>IFERROR(IF(tblInputSheet[[#This Row],[Process]] = "", "", REPT("*",Demo!$A12)&amp;""&amp;tblInputSheet[[#This Row],[Process]]), "")</f>
        <v>*******Claim Member Microservice</v>
      </c>
      <c r="G12" s="6" t="str">
        <f>IFERROR(IF(tblInputSheet[[#This Row],[Hosted Platform]] = "-", "", VLOOKUP(tblInputSheet[[#This Row],[Hosted Platform]], tblHosted_PlatformOwner[], 2,FALSE)), "")</f>
        <v>CC001</v>
      </c>
      <c r="H12" s="6" t="str">
        <f>IFERROR(IF(tblInputSheet[[#This Row],[Hosted Platform]] = "-", "", VLOOKUP(tblInputSheet[[#This Row],[Hosted Platform]], tblHosted_PlatformOwner[], 1,FALSE)), "")</f>
        <v>PCF</v>
      </c>
      <c r="I12" s="6" t="str">
        <f>IFERROR(IF(tblInputSheet[[#This Row],[Provider]] = "-", "", VLOOKUP(tblInputSheet[[#This Row],[Provider]], tblParticipants[], 2,FALSE)), "")</f>
        <v>PP001</v>
      </c>
      <c r="J12" s="6" t="str">
        <f>IFERROR(IF(tblInputSheet[[#This Row],[Provider]] = "-", "", VLOOKUP(tblInputSheet[[#This Row],[Provider]], tblParticipants[], 1,FALSE)), "")</f>
        <v>Key-Claims Adjudication</v>
      </c>
      <c r="K12" s="6" t="str">
        <f>IFERROR(IF(tblInputSheet[[#This Row],[Consumer]] = "-", "", VLOOKUP(tblInputSheet[[#This Row],[Consumer]], tblParticipants[], 2,FALSE)), "")</f>
        <v>PP001</v>
      </c>
      <c r="L12" s="6" t="str">
        <f>IFERROR(IF(tblInputSheet[[#This Row],[Consumer]] = "-", "", VLOOKUP(tblInputSheet[[#This Row],[Consumer]], tblParticipants[], 1,FALSE)), "")</f>
        <v>Key-Claims Adjudication</v>
      </c>
      <c r="M12" s="6" t="str">
        <f>IFERROR(IF(tblInputSheet[[#This Row],[Integration Pattern]] = "-", "", VLOOKUP(tblInputSheet[[#This Row],[Integration Pattern]], tblIntegrationPartten[], 2,FALSE)), "")</f>
        <v>IP001</v>
      </c>
      <c r="N12" s="6" t="str">
        <f>IFERROR(IF(tblInputSheet[[#This Row],[Integration Pattern]] = "-", "", VLOOKUP(tblInputSheet[[#This Row],[Integration Pattern]], tblIntegrationPartten[], 1,FALSE)), "")</f>
        <v>PCF Internal (C-to-C)</v>
      </c>
      <c r="O12" s="6" t="str">
        <f>tblDisplaySheet[[#This Row],[Current State]]</f>
        <v>Y</v>
      </c>
      <c r="P12" s="6" t="str">
        <f>tblDisplaySheet[[#This Row],[Confidence Factor]]</f>
        <v>High</v>
      </c>
      <c r="Q12" s="6">
        <f>tblDisplaySheet[[#This Row],[Count of Invocations]]</f>
        <v>1</v>
      </c>
      <c r="R12" s="6">
        <f>tblDisplaySheet[[#This Row],[DB Calls (ms)]]</f>
        <v>1</v>
      </c>
      <c r="S12" s="6">
        <f>tblDisplaySheet[[#This Row],[Logic (ms)]]</f>
        <v>12</v>
      </c>
      <c r="T12" s="6">
        <f>tblDisplaySheet[[#This Row],[Rules (ms)]]</f>
        <v>0</v>
      </c>
      <c r="U12" s="6">
        <f>tblDisplaySheet[[#This Row],[Latency (ms)]]</f>
        <v>5</v>
      </c>
      <c r="V12" s="6">
        <f>tblDisplaySheet[[#This Row],[Total Process Path Length]]</f>
        <v>18</v>
      </c>
      <c r="W12" s="6">
        <f>tblDisplaySheet[[#This Row],[Total Process Time]]</f>
        <v>18</v>
      </c>
      <c r="X12" s="6">
        <f>tblDisplaySheet[[#This Row],[Total Process Path Length]]</f>
        <v>18</v>
      </c>
      <c r="Y12" s="6">
        <f>tblDisplaySheet[[#This Row],[Process NFR]]</f>
        <v>20</v>
      </c>
      <c r="Z12" s="6">
        <f>tblDisplaySheet[[#This Row],[Total Process NFR]]</f>
        <v>20</v>
      </c>
      <c r="AA12" s="6">
        <f>tblDisplaySheet[[#This Row],[Total Process Path Length NFR]]</f>
        <v>20</v>
      </c>
      <c r="AB12" s="6" t="str">
        <f>tblDisplaySheet[[#This Row],[Status]]</f>
        <v>On Target</v>
      </c>
      <c r="AC12" s="6" t="str">
        <f>tblDisplaySheet[[#This Row],[Status]]</f>
        <v>On Target</v>
      </c>
      <c r="AD12" s="6" t="str">
        <f>tblDisplaySheet[[#This Row],[Is Leaf?]]</f>
        <v>Y</v>
      </c>
      <c r="AE12" s="6" t="str">
        <f>tblDisplaySheet[[#This Row],[Owner]]</f>
        <v>Alak</v>
      </c>
    </row>
    <row r="13" spans="1:31" x14ac:dyDescent="0.25">
      <c r="A13" s="6">
        <f>tblDisplaySheet[[#This Row],[Link]]</f>
        <v>7</v>
      </c>
      <c r="B13" s="6">
        <f>tblDisplaySheet[[#This Row],[Level]]</f>
        <v>7</v>
      </c>
      <c r="C13" s="6">
        <f>tblDisplaySheet[[#This Row],[Sl.No]]</f>
        <v>11</v>
      </c>
      <c r="D13" s="6" t="str">
        <f>tblDisplaySheet[[#This Row],[Group]]</f>
        <v>Eligibility</v>
      </c>
      <c r="E13" s="6" t="str">
        <f>TEXT(tblInputSheet[[#This Row],[Sl.No]], "000")&amp; ":"&amp; tblInputSheet[[#This Row],[Process]]</f>
        <v xml:space="preserve">011:New Born Update </v>
      </c>
      <c r="F13" s="6" t="str">
        <f>IFERROR(IF(tblInputSheet[[#This Row],[Process]] = "", "", REPT("*",Demo!$A13)&amp;""&amp;tblInputSheet[[#This Row],[Process]]), "")</f>
        <v xml:space="preserve">*******New Born Update </v>
      </c>
      <c r="G13" s="6" t="str">
        <f>IFERROR(IF(tblInputSheet[[#This Row],[Hosted Platform]] = "-", "", VLOOKUP(tblInputSheet[[#This Row],[Hosted Platform]], tblHosted_PlatformOwner[], 2,FALSE)), "")</f>
        <v>CC001</v>
      </c>
      <c r="H13" s="6" t="str">
        <f>IFERROR(IF(tblInputSheet[[#This Row],[Hosted Platform]] = "-", "", VLOOKUP(tblInputSheet[[#This Row],[Hosted Platform]], tblHosted_PlatformOwner[], 1,FALSE)), "")</f>
        <v>PCF</v>
      </c>
      <c r="I13" s="6" t="str">
        <f>IFERROR(IF(tblInputSheet[[#This Row],[Provider]] = "-", "", VLOOKUP(tblInputSheet[[#This Row],[Provider]], tblParticipants[], 2,FALSE)), "")</f>
        <v>PP001</v>
      </c>
      <c r="J13" s="6" t="str">
        <f>IFERROR(IF(tblInputSheet[[#This Row],[Provider]] = "-", "", VLOOKUP(tblInputSheet[[#This Row],[Provider]], tblParticipants[], 1,FALSE)), "")</f>
        <v>Key-Claims Adjudication</v>
      </c>
      <c r="K13" s="6" t="str">
        <f>IFERROR(IF(tblInputSheet[[#This Row],[Consumer]] = "-", "", VLOOKUP(tblInputSheet[[#This Row],[Consumer]], tblParticipants[], 2,FALSE)), "")</f>
        <v>PP001</v>
      </c>
      <c r="L13" s="6" t="str">
        <f>IFERROR(IF(tblInputSheet[[#This Row],[Consumer]] = "-", "", VLOOKUP(tblInputSheet[[#This Row],[Consumer]], tblParticipants[], 1,FALSE)), "")</f>
        <v>Key-Claims Adjudication</v>
      </c>
      <c r="M13" s="6" t="str">
        <f>IFERROR(IF(tblInputSheet[[#This Row],[Integration Pattern]] = "-", "", VLOOKUP(tblInputSheet[[#This Row],[Integration Pattern]], tblIntegrationPartten[], 2,FALSE)), "")</f>
        <v>IP002</v>
      </c>
      <c r="N13" s="6" t="str">
        <f>IFERROR(IF(tblInputSheet[[#This Row],[Integration Pattern]] = "-", "", VLOOKUP(tblInputSheet[[#This Row],[Integration Pattern]], tblIntegrationPartten[], 1,FALSE)), "")</f>
        <v xml:space="preserve">REST Service - MQ </v>
      </c>
      <c r="O13" s="6" t="str">
        <f>tblDisplaySheet[[#This Row],[Current State]]</f>
        <v>Y</v>
      </c>
      <c r="P13" s="6" t="str">
        <f>tblDisplaySheet[[#This Row],[Confidence Factor]]</f>
        <v>High</v>
      </c>
      <c r="Q13" s="6">
        <f>tblDisplaySheet[[#This Row],[Count of Invocations]]</f>
        <v>0</v>
      </c>
      <c r="R13" s="6">
        <f>tblDisplaySheet[[#This Row],[DB Calls (ms)]]</f>
        <v>0</v>
      </c>
      <c r="S13" s="6">
        <f>tblDisplaySheet[[#This Row],[Logic (ms)]]</f>
        <v>24</v>
      </c>
      <c r="T13" s="6">
        <f>tblDisplaySheet[[#This Row],[Rules (ms)]]</f>
        <v>0</v>
      </c>
      <c r="U13" s="6">
        <f>tblDisplaySheet[[#This Row],[Latency (ms)]]</f>
        <v>5</v>
      </c>
      <c r="V13" s="6">
        <f>tblDisplaySheet[[#This Row],[Total Process Path Length]]</f>
        <v>0</v>
      </c>
      <c r="W13" s="6">
        <f>tblDisplaySheet[[#This Row],[Total Process Time]]</f>
        <v>0</v>
      </c>
      <c r="X13" s="6">
        <f>tblDisplaySheet[[#This Row],[Total Process Path Length]]</f>
        <v>0</v>
      </c>
      <c r="Y13" s="6">
        <f>tblDisplaySheet[[#This Row],[Process NFR]]</f>
        <v>30</v>
      </c>
      <c r="Z13" s="6">
        <f>tblDisplaySheet[[#This Row],[Total Process NFR]]</f>
        <v>0</v>
      </c>
      <c r="AA13" s="6">
        <f>tblDisplaySheet[[#This Row],[Total Process Path Length NFR]]</f>
        <v>0</v>
      </c>
      <c r="AB13" s="6" t="str">
        <f>tblDisplaySheet[[#This Row],[Status]]</f>
        <v>On Target</v>
      </c>
      <c r="AC13" s="6" t="str">
        <f>tblDisplaySheet[[#This Row],[Status]]</f>
        <v>On Target</v>
      </c>
      <c r="AD13" s="6" t="str">
        <f>tblDisplaySheet[[#This Row],[Is Leaf?]]</f>
        <v>Y</v>
      </c>
      <c r="AE13" s="6" t="str">
        <f>tblDisplaySheet[[#This Row],[Owner]]</f>
        <v>Alak</v>
      </c>
    </row>
    <row r="14" spans="1:31" x14ac:dyDescent="0.25">
      <c r="A14" s="6">
        <f>tblDisplaySheet[[#This Row],[Link]]</f>
        <v>6</v>
      </c>
      <c r="B14" s="6">
        <f>tblDisplaySheet[[#This Row],[Level]]</f>
        <v>6</v>
      </c>
      <c r="C14" s="6">
        <f>tblDisplaySheet[[#This Row],[Sl.No]]</f>
        <v>12</v>
      </c>
      <c r="D14" s="6" t="str">
        <f>tblDisplaySheet[[#This Row],[Group]]</f>
        <v>Eligibility</v>
      </c>
      <c r="E14" s="6" t="str">
        <f>TEXT(tblInputSheet[[#This Row],[Sl.No]], "000")&amp; ":"&amp; tblInputSheet[[#This Row],[Process]]</f>
        <v>012:Provider Match &amp; Eligibility Microservice</v>
      </c>
      <c r="F14" s="6" t="str">
        <f>IFERROR(IF(tblInputSheet[[#This Row],[Process]] = "", "", REPT("*",Demo!$A14)&amp;""&amp;tblInputSheet[[#This Row],[Process]]), "")</f>
        <v>******Provider Match &amp; Eligibility Microservice</v>
      </c>
      <c r="G14" s="6" t="str">
        <f>IFERROR(IF(tblInputSheet[[#This Row],[Hosted Platform]] = "-", "", VLOOKUP(tblInputSheet[[#This Row],[Hosted Platform]], tblHosted_PlatformOwner[], 2,FALSE)), "")</f>
        <v>CC001</v>
      </c>
      <c r="H14" s="6" t="str">
        <f>IFERROR(IF(tblInputSheet[[#This Row],[Hosted Platform]] = "-", "", VLOOKUP(tblInputSheet[[#This Row],[Hosted Platform]], tblHosted_PlatformOwner[], 1,FALSE)), "")</f>
        <v>PCF</v>
      </c>
      <c r="I14" s="6" t="str">
        <f>IFERROR(IF(tblInputSheet[[#This Row],[Provider]] = "-", "", VLOOKUP(tblInputSheet[[#This Row],[Provider]], tblParticipants[], 2,FALSE)), "")</f>
        <v>PP001</v>
      </c>
      <c r="J14" s="6" t="str">
        <f>IFERROR(IF(tblInputSheet[[#This Row],[Provider]] = "-", "", VLOOKUP(tblInputSheet[[#This Row],[Provider]], tblParticipants[], 1,FALSE)), "")</f>
        <v>Key-Claims Adjudication</v>
      </c>
      <c r="K14" s="6" t="str">
        <f>IFERROR(IF(tblInputSheet[[#This Row],[Consumer]] = "-", "", VLOOKUP(tblInputSheet[[#This Row],[Consumer]], tblParticipants[], 2,FALSE)), "")</f>
        <v>PP001</v>
      </c>
      <c r="L14" s="6" t="str">
        <f>IFERROR(IF(tblInputSheet[[#This Row],[Consumer]] = "-", "", VLOOKUP(tblInputSheet[[#This Row],[Consumer]], tblParticipants[], 1,FALSE)), "")</f>
        <v>Key-Claims Adjudication</v>
      </c>
      <c r="M14" s="6" t="str">
        <f>IFERROR(IF(tblInputSheet[[#This Row],[Integration Pattern]] = "-", "", VLOOKUP(tblInputSheet[[#This Row],[Integration Pattern]], tblIntegrationPartten[], 2,FALSE)), "")</f>
        <v>IP001</v>
      </c>
      <c r="N14" s="6" t="str">
        <f>IFERROR(IF(tblInputSheet[[#This Row],[Integration Pattern]] = "-", "", VLOOKUP(tblInputSheet[[#This Row],[Integration Pattern]], tblIntegrationPartten[], 1,FALSE)), "")</f>
        <v>PCF Internal (C-to-C)</v>
      </c>
      <c r="O14" s="6" t="str">
        <f>tblDisplaySheet[[#This Row],[Current State]]</f>
        <v>Y</v>
      </c>
      <c r="P14" s="6" t="str">
        <f>tblDisplaySheet[[#This Row],[Confidence Factor]]</f>
        <v>High</v>
      </c>
      <c r="Q14" s="6">
        <f>tblDisplaySheet[[#This Row],[Count of Invocations]]</f>
        <v>1</v>
      </c>
      <c r="R14" s="6">
        <f>tblDisplaySheet[[#This Row],[DB Calls (ms)]]</f>
        <v>0</v>
      </c>
      <c r="S14" s="6">
        <f>tblDisplaySheet[[#This Row],[Logic (ms)]]</f>
        <v>5</v>
      </c>
      <c r="T14" s="6">
        <f>tblDisplaySheet[[#This Row],[Rules (ms)]]</f>
        <v>0</v>
      </c>
      <c r="U14" s="6">
        <f>tblDisplaySheet[[#This Row],[Latency (ms)]]</f>
        <v>5</v>
      </c>
      <c r="V14" s="6">
        <f>tblDisplaySheet[[#This Row],[Total Process Path Length]]</f>
        <v>27</v>
      </c>
      <c r="W14" s="6">
        <f>tblDisplaySheet[[#This Row],[Total Process Time]]</f>
        <v>10</v>
      </c>
      <c r="X14" s="6">
        <f>tblDisplaySheet[[#This Row],[Total Process Path Length]]</f>
        <v>27</v>
      </c>
      <c r="Y14" s="6">
        <f>tblDisplaySheet[[#This Row],[Process NFR]]</f>
        <v>15</v>
      </c>
      <c r="Z14" s="6">
        <f>tblDisplaySheet[[#This Row],[Total Process NFR]]</f>
        <v>15</v>
      </c>
      <c r="AA14" s="6">
        <f>tblDisplaySheet[[#This Row],[Total Process Path Length NFR]]</f>
        <v>40</v>
      </c>
      <c r="AB14" s="6" t="str">
        <f>tblDisplaySheet[[#This Row],[Status]]</f>
        <v>On Target</v>
      </c>
      <c r="AC14" s="6" t="str">
        <f>tblDisplaySheet[[#This Row],[Status]]</f>
        <v>On Target</v>
      </c>
      <c r="AD14" s="6" t="str">
        <f>tblDisplaySheet[[#This Row],[Is Leaf?]]</f>
        <v>N</v>
      </c>
      <c r="AE14" s="6" t="str">
        <f>tblDisplaySheet[[#This Row],[Owner]]</f>
        <v>Alak</v>
      </c>
    </row>
    <row r="15" spans="1:31" x14ac:dyDescent="0.25">
      <c r="A15" s="6">
        <f>tblDisplaySheet[[#This Row],[Link]]</f>
        <v>12</v>
      </c>
      <c r="B15" s="6">
        <f>tblDisplaySheet[[#This Row],[Level]]</f>
        <v>7</v>
      </c>
      <c r="C15" s="6">
        <f>tblDisplaySheet[[#This Row],[Sl.No]]</f>
        <v>13</v>
      </c>
      <c r="D15" s="6" t="str">
        <f>tblDisplaySheet[[#This Row],[Group]]</f>
        <v>Eligibility</v>
      </c>
      <c r="E15" s="6" t="str">
        <f>TEXT(tblInputSheet[[#This Row],[Sl.No]], "000")&amp; ":"&amp; tblInputSheet[[#This Row],[Process]]</f>
        <v>013:Claim Provider Microservice</v>
      </c>
      <c r="F15" s="6" t="str">
        <f>IFERROR(IF(tblInputSheet[[#This Row],[Process]] = "", "", REPT("*",Demo!$A15)&amp;""&amp;tblInputSheet[[#This Row],[Process]]), "")</f>
        <v>*******Claim Provider Microservice</v>
      </c>
      <c r="G15" s="6" t="str">
        <f>IFERROR(IF(tblInputSheet[[#This Row],[Hosted Platform]] = "-", "", VLOOKUP(tblInputSheet[[#This Row],[Hosted Platform]], tblHosted_PlatformOwner[], 2,FALSE)), "")</f>
        <v>CC001</v>
      </c>
      <c r="H15" s="6" t="str">
        <f>IFERROR(IF(tblInputSheet[[#This Row],[Hosted Platform]] = "-", "", VLOOKUP(tblInputSheet[[#This Row],[Hosted Platform]], tblHosted_PlatformOwner[], 1,FALSE)), "")</f>
        <v>PCF</v>
      </c>
      <c r="I15" s="6" t="str">
        <f>IFERROR(IF(tblInputSheet[[#This Row],[Provider]] = "-", "", VLOOKUP(tblInputSheet[[#This Row],[Provider]], tblParticipants[], 2,FALSE)), "")</f>
        <v>PP001</v>
      </c>
      <c r="J15" s="6" t="str">
        <f>IFERROR(IF(tblInputSheet[[#This Row],[Provider]] = "-", "", VLOOKUP(tblInputSheet[[#This Row],[Provider]], tblParticipants[], 1,FALSE)), "")</f>
        <v>Key-Claims Adjudication</v>
      </c>
      <c r="K15" s="6" t="str">
        <f>IFERROR(IF(tblInputSheet[[#This Row],[Consumer]] = "-", "", VLOOKUP(tblInputSheet[[#This Row],[Consumer]], tblParticipants[], 2,FALSE)), "")</f>
        <v>PP001</v>
      </c>
      <c r="L15" s="6" t="str">
        <f>IFERROR(IF(tblInputSheet[[#This Row],[Consumer]] = "-", "", VLOOKUP(tblInputSheet[[#This Row],[Consumer]], tblParticipants[], 1,FALSE)), "")</f>
        <v>Key-Claims Adjudication</v>
      </c>
      <c r="M15" s="6" t="str">
        <f>IFERROR(IF(tblInputSheet[[#This Row],[Integration Pattern]] = "-", "", VLOOKUP(tblInputSheet[[#This Row],[Integration Pattern]], tblIntegrationPartten[], 2,FALSE)), "")</f>
        <v>IP001</v>
      </c>
      <c r="N15" s="6" t="str">
        <f>IFERROR(IF(tblInputSheet[[#This Row],[Integration Pattern]] = "-", "", VLOOKUP(tblInputSheet[[#This Row],[Integration Pattern]], tblIntegrationPartten[], 1,FALSE)), "")</f>
        <v>PCF Internal (C-to-C)</v>
      </c>
      <c r="O15" s="6" t="str">
        <f>tblDisplaySheet[[#This Row],[Current State]]</f>
        <v>Y</v>
      </c>
      <c r="P15" s="6" t="str">
        <f>tblDisplaySheet[[#This Row],[Confidence Factor]]</f>
        <v>High</v>
      </c>
      <c r="Q15" s="6">
        <f>tblDisplaySheet[[#This Row],[Count of Invocations]]</f>
        <v>1</v>
      </c>
      <c r="R15" s="6">
        <f>tblDisplaySheet[[#This Row],[DB Calls (ms)]]</f>
        <v>1</v>
      </c>
      <c r="S15" s="6">
        <f>tblDisplaySheet[[#This Row],[Logic (ms)]]</f>
        <v>4</v>
      </c>
      <c r="T15" s="6">
        <f>tblDisplaySheet[[#This Row],[Rules (ms)]]</f>
        <v>0</v>
      </c>
      <c r="U15" s="6">
        <f>tblDisplaySheet[[#This Row],[Latency (ms)]]</f>
        <v>5</v>
      </c>
      <c r="V15" s="6">
        <f>tblDisplaySheet[[#This Row],[Total Process Path Length]]</f>
        <v>10</v>
      </c>
      <c r="W15" s="6">
        <f>tblDisplaySheet[[#This Row],[Total Process Time]]</f>
        <v>10</v>
      </c>
      <c r="X15" s="6">
        <f>tblDisplaySheet[[#This Row],[Total Process Path Length]]</f>
        <v>10</v>
      </c>
      <c r="Y15" s="6">
        <f>tblDisplaySheet[[#This Row],[Process NFR]]</f>
        <v>15</v>
      </c>
      <c r="Z15" s="6">
        <f>tblDisplaySheet[[#This Row],[Total Process NFR]]</f>
        <v>15</v>
      </c>
      <c r="AA15" s="6">
        <f>tblDisplaySheet[[#This Row],[Total Process Path Length NFR]]</f>
        <v>15</v>
      </c>
      <c r="AB15" s="6" t="str">
        <f>tblDisplaySheet[[#This Row],[Status]]</f>
        <v>On Target</v>
      </c>
      <c r="AC15" s="6" t="str">
        <f>tblDisplaySheet[[#This Row],[Status]]</f>
        <v>On Target</v>
      </c>
      <c r="AD15" s="6" t="str">
        <f>tblDisplaySheet[[#This Row],[Is Leaf?]]</f>
        <v>Y</v>
      </c>
      <c r="AE15" s="6" t="str">
        <f>tblDisplaySheet[[#This Row],[Owner]]</f>
        <v>Alak</v>
      </c>
    </row>
    <row r="16" spans="1:31" x14ac:dyDescent="0.25">
      <c r="A16" s="6">
        <f>tblDisplaySheet[[#This Row],[Link]]</f>
        <v>12</v>
      </c>
      <c r="B16" s="6">
        <f>tblDisplaySheet[[#This Row],[Level]]</f>
        <v>7</v>
      </c>
      <c r="C16" s="6">
        <f>tblDisplaySheet[[#This Row],[Sl.No]]</f>
        <v>14</v>
      </c>
      <c r="D16" s="6" t="str">
        <f>tblDisplaySheet[[#This Row],[Group]]</f>
        <v>Eligibility</v>
      </c>
      <c r="E16" s="6" t="str">
        <f>TEXT(tblInputSheet[[#This Row],[Sl.No]], "000")&amp; ":"&amp; tblInputSheet[[#This Row],[Process]]</f>
        <v>014:Reference Lookup Microservice</v>
      </c>
      <c r="F16" s="6" t="str">
        <f>IFERROR(IF(tblInputSheet[[#This Row],[Process]] = "", "", REPT("*",Demo!$A16)&amp;""&amp;tblInputSheet[[#This Row],[Process]]), "")</f>
        <v>*******Reference Lookup Microservice</v>
      </c>
      <c r="G16" s="6" t="str">
        <f>IFERROR(IF(tblInputSheet[[#This Row],[Hosted Platform]] = "-", "", VLOOKUP(tblInputSheet[[#This Row],[Hosted Platform]], tblHosted_PlatformOwner[], 2,FALSE)), "")</f>
        <v>CC001</v>
      </c>
      <c r="H16" s="6" t="str">
        <f>IFERROR(IF(tblInputSheet[[#This Row],[Hosted Platform]] = "-", "", VLOOKUP(tblInputSheet[[#This Row],[Hosted Platform]], tblHosted_PlatformOwner[], 1,FALSE)), "")</f>
        <v>PCF</v>
      </c>
      <c r="I16" s="6" t="str">
        <f>IFERROR(IF(tblInputSheet[[#This Row],[Provider]] = "-", "", VLOOKUP(tblInputSheet[[#This Row],[Provider]], tblParticipants[], 2,FALSE)), "")</f>
        <v>PP001</v>
      </c>
      <c r="J16" s="6" t="str">
        <f>IFERROR(IF(tblInputSheet[[#This Row],[Provider]] = "-", "", VLOOKUP(tblInputSheet[[#This Row],[Provider]], tblParticipants[], 1,FALSE)), "")</f>
        <v>Key-Claims Adjudication</v>
      </c>
      <c r="K16" s="6" t="str">
        <f>IFERROR(IF(tblInputSheet[[#This Row],[Consumer]] = "-", "", VLOOKUP(tblInputSheet[[#This Row],[Consumer]], tblParticipants[], 2,FALSE)), "")</f>
        <v>PP001</v>
      </c>
      <c r="L16" s="6" t="str">
        <f>IFERROR(IF(tblInputSheet[[#This Row],[Consumer]] = "-", "", VLOOKUP(tblInputSheet[[#This Row],[Consumer]], tblParticipants[], 1,FALSE)), "")</f>
        <v>Key-Claims Adjudication</v>
      </c>
      <c r="M16" s="6" t="str">
        <f>IFERROR(IF(tblInputSheet[[#This Row],[Integration Pattern]] = "-", "", VLOOKUP(tblInputSheet[[#This Row],[Integration Pattern]], tblIntegrationPartten[], 2,FALSE)), "")</f>
        <v>IP001</v>
      </c>
      <c r="N16" s="6" t="str">
        <f>IFERROR(IF(tblInputSheet[[#This Row],[Integration Pattern]] = "-", "", VLOOKUP(tblInputSheet[[#This Row],[Integration Pattern]], tblIntegrationPartten[], 1,FALSE)), "")</f>
        <v>PCF Internal (C-to-C)</v>
      </c>
      <c r="O16" s="6" t="str">
        <f>tblDisplaySheet[[#This Row],[Current State]]</f>
        <v>Y</v>
      </c>
      <c r="P16" s="6" t="str">
        <f>tblDisplaySheet[[#This Row],[Confidence Factor]]</f>
        <v>High</v>
      </c>
      <c r="Q16" s="6">
        <f>tblDisplaySheet[[#This Row],[Count of Invocations]]</f>
        <v>1</v>
      </c>
      <c r="R16" s="6">
        <f>tblDisplaySheet[[#This Row],[DB Calls (ms)]]</f>
        <v>1</v>
      </c>
      <c r="S16" s="6">
        <f>tblDisplaySheet[[#This Row],[Logic (ms)]]</f>
        <v>1</v>
      </c>
      <c r="T16" s="6">
        <f>tblDisplaySheet[[#This Row],[Rules (ms)]]</f>
        <v>0</v>
      </c>
      <c r="U16" s="6">
        <f>tblDisplaySheet[[#This Row],[Latency (ms)]]</f>
        <v>5</v>
      </c>
      <c r="V16" s="6">
        <f>tblDisplaySheet[[#This Row],[Total Process Path Length]]</f>
        <v>7</v>
      </c>
      <c r="W16" s="6">
        <f>tblDisplaySheet[[#This Row],[Total Process Time]]</f>
        <v>7</v>
      </c>
      <c r="X16" s="6">
        <f>tblDisplaySheet[[#This Row],[Total Process Path Length]]</f>
        <v>7</v>
      </c>
      <c r="Y16" s="6">
        <f>tblDisplaySheet[[#This Row],[Process NFR]]</f>
        <v>10</v>
      </c>
      <c r="Z16" s="6">
        <f>tblDisplaySheet[[#This Row],[Total Process NFR]]</f>
        <v>10</v>
      </c>
      <c r="AA16" s="6">
        <f>tblDisplaySheet[[#This Row],[Total Process Path Length NFR]]</f>
        <v>10</v>
      </c>
      <c r="AB16" s="6" t="str">
        <f>tblDisplaySheet[[#This Row],[Status]]</f>
        <v>On Target</v>
      </c>
      <c r="AC16" s="6" t="str">
        <f>tblDisplaySheet[[#This Row],[Status]]</f>
        <v>On Target</v>
      </c>
      <c r="AD16" s="6" t="str">
        <f>tblDisplaySheet[[#This Row],[Is Leaf?]]</f>
        <v>Y</v>
      </c>
      <c r="AE16" s="6" t="str">
        <f>tblDisplaySheet[[#This Row],[Owner]]</f>
        <v>Alak</v>
      </c>
    </row>
    <row r="17" spans="1:31" x14ac:dyDescent="0.25">
      <c r="A17" s="6">
        <f>tblDisplaySheet[[#This Row],[Link]]</f>
        <v>6</v>
      </c>
      <c r="B17" s="6">
        <f>tblDisplaySheet[[#This Row],[Level]]</f>
        <v>6</v>
      </c>
      <c r="C17" s="6">
        <f>tblDisplaySheet[[#This Row],[Sl.No]]</f>
        <v>15</v>
      </c>
      <c r="D17" s="6" t="str">
        <f>tblDisplaySheet[[#This Row],[Group]]</f>
        <v>Eligibility</v>
      </c>
      <c r="E17" s="6" t="str">
        <f>TEXT(tblInputSheet[[#This Row],[Sl.No]], "000")&amp; ":"&amp; tblInputSheet[[#This Row],[Process]]</f>
        <v>015:Eligibility Lock Microservice</v>
      </c>
      <c r="F17" s="6" t="str">
        <f>IFERROR(IF(tblInputSheet[[#This Row],[Process]] = "", "", REPT("*",Demo!$A17)&amp;""&amp;tblInputSheet[[#This Row],[Process]]), "")</f>
        <v>******Eligibility Lock Microservice</v>
      </c>
      <c r="G17" s="6" t="str">
        <f>IFERROR(IF(tblInputSheet[[#This Row],[Hosted Platform]] = "-", "", VLOOKUP(tblInputSheet[[#This Row],[Hosted Platform]], tblHosted_PlatformOwner[], 2,FALSE)), "")</f>
        <v>CC001</v>
      </c>
      <c r="H17" s="6" t="str">
        <f>IFERROR(IF(tblInputSheet[[#This Row],[Hosted Platform]] = "-", "", VLOOKUP(tblInputSheet[[#This Row],[Hosted Platform]], tblHosted_PlatformOwner[], 1,FALSE)), "")</f>
        <v>PCF</v>
      </c>
      <c r="I17" s="6" t="str">
        <f>IFERROR(IF(tblInputSheet[[#This Row],[Provider]] = "-", "", VLOOKUP(tblInputSheet[[#This Row],[Provider]], tblParticipants[], 2,FALSE)), "")</f>
        <v>PP001</v>
      </c>
      <c r="J17" s="6" t="str">
        <f>IFERROR(IF(tblInputSheet[[#This Row],[Provider]] = "-", "", VLOOKUP(tblInputSheet[[#This Row],[Provider]], tblParticipants[], 1,FALSE)), "")</f>
        <v>Key-Claims Adjudication</v>
      </c>
      <c r="K17" s="6" t="str">
        <f>IFERROR(IF(tblInputSheet[[#This Row],[Consumer]] = "-", "", VLOOKUP(tblInputSheet[[#This Row],[Consumer]], tblParticipants[], 2,FALSE)), "")</f>
        <v>PP001</v>
      </c>
      <c r="L17" s="6" t="str">
        <f>IFERROR(IF(tblInputSheet[[#This Row],[Consumer]] = "-", "", VLOOKUP(tblInputSheet[[#This Row],[Consumer]], tblParticipants[], 1,FALSE)), "")</f>
        <v>Key-Claims Adjudication</v>
      </c>
      <c r="M17" s="6" t="str">
        <f>IFERROR(IF(tblInputSheet[[#This Row],[Integration Pattern]] = "-", "", VLOOKUP(tblInputSheet[[#This Row],[Integration Pattern]], tblIntegrationPartten[], 2,FALSE)), "")</f>
        <v>IP001</v>
      </c>
      <c r="N17" s="6" t="str">
        <f>IFERROR(IF(tblInputSheet[[#This Row],[Integration Pattern]] = "-", "", VLOOKUP(tblInputSheet[[#This Row],[Integration Pattern]], tblIntegrationPartten[], 1,FALSE)), "")</f>
        <v>PCF Internal (C-to-C)</v>
      </c>
      <c r="O17" s="6" t="str">
        <f>tblDisplaySheet[[#This Row],[Current State]]</f>
        <v>Y</v>
      </c>
      <c r="P17" s="6" t="str">
        <f>tblDisplaySheet[[#This Row],[Confidence Factor]]</f>
        <v>High</v>
      </c>
      <c r="Q17" s="6">
        <f>tblDisplaySheet[[#This Row],[Count of Invocations]]</f>
        <v>1</v>
      </c>
      <c r="R17" s="6">
        <f>tblDisplaySheet[[#This Row],[DB Calls (ms)]]</f>
        <v>1</v>
      </c>
      <c r="S17" s="6">
        <f>tblDisplaySheet[[#This Row],[Logic (ms)]]</f>
        <v>24</v>
      </c>
      <c r="T17" s="6">
        <f>tblDisplaySheet[[#This Row],[Rules (ms)]]</f>
        <v>0</v>
      </c>
      <c r="U17" s="6">
        <f>tblDisplaySheet[[#This Row],[Latency (ms)]]</f>
        <v>5</v>
      </c>
      <c r="V17" s="6">
        <f>tblDisplaySheet[[#This Row],[Total Process Path Length]]</f>
        <v>30</v>
      </c>
      <c r="W17" s="6">
        <f>tblDisplaySheet[[#This Row],[Total Process Time]]</f>
        <v>30</v>
      </c>
      <c r="X17" s="6">
        <f>tblDisplaySheet[[#This Row],[Total Process Path Length]]</f>
        <v>30</v>
      </c>
      <c r="Y17" s="6">
        <f>tblDisplaySheet[[#This Row],[Process NFR]]</f>
        <v>35</v>
      </c>
      <c r="Z17" s="6">
        <f>tblDisplaySheet[[#This Row],[Total Process NFR]]</f>
        <v>35</v>
      </c>
      <c r="AA17" s="6">
        <f>tblDisplaySheet[[#This Row],[Total Process Path Length NFR]]</f>
        <v>35</v>
      </c>
      <c r="AB17" s="6" t="str">
        <f>tblDisplaySheet[[#This Row],[Status]]</f>
        <v>On Target</v>
      </c>
      <c r="AC17" s="6" t="str">
        <f>tblDisplaySheet[[#This Row],[Status]]</f>
        <v>On Target</v>
      </c>
      <c r="AD17" s="6" t="str">
        <f>tblDisplaySheet[[#This Row],[Is Leaf?]]</f>
        <v>Y</v>
      </c>
      <c r="AE17" s="6" t="str">
        <f>tblDisplaySheet[[#This Row],[Owner]]</f>
        <v>Alak</v>
      </c>
    </row>
    <row r="18" spans="1:31" x14ac:dyDescent="0.25">
      <c r="A18" s="6">
        <f>tblDisplaySheet[[#This Row],[Link]]</f>
        <v>2</v>
      </c>
      <c r="B18" s="6">
        <f>tblDisplaySheet[[#This Row],[Level]]</f>
        <v>2</v>
      </c>
      <c r="C18" s="6">
        <f>tblDisplaySheet[[#This Row],[Sl.No]]</f>
        <v>16</v>
      </c>
      <c r="D18" s="6" t="str">
        <f>tblDisplaySheet[[#This Row],[Group]]</f>
        <v>Claim Level</v>
      </c>
      <c r="E18" s="6" t="str">
        <f>TEXT(tblInputSheet[[#This Row],[Sl.No]], "000")&amp; ":"&amp; tblInputSheet[[#This Row],[Process]]</f>
        <v>016:Claim Level</v>
      </c>
      <c r="F18" s="6" t="str">
        <f>IFERROR(IF(tblInputSheet[[#This Row],[Process]] = "", "", REPT("*",Demo!$A18)&amp;""&amp;tblInputSheet[[#This Row],[Process]]), "")</f>
        <v>**Claim Level</v>
      </c>
      <c r="G18" s="6" t="str">
        <f>IFERROR(IF(tblInputSheet[[#This Row],[Hosted Platform]] = "-", "", VLOOKUP(tblInputSheet[[#This Row],[Hosted Platform]], tblHosted_PlatformOwner[], 2,FALSE)), "")</f>
        <v>CC000</v>
      </c>
      <c r="H18" s="6" t="str">
        <f>IFERROR(IF(tblInputSheet[[#This Row],[Hosted Platform]] = "-", "", VLOOKUP(tblInputSheet[[#This Row],[Hosted Platform]], tblHosted_PlatformOwner[], 1,FALSE)), "")</f>
        <v>Business Process</v>
      </c>
      <c r="I18" s="6" t="str">
        <f>IFERROR(IF(tblInputSheet[[#This Row],[Provider]] = "-", "", VLOOKUP(tblInputSheet[[#This Row],[Provider]], tblParticipants[], 2,FALSE)), "")</f>
        <v>PP000</v>
      </c>
      <c r="J18" s="6" t="str">
        <f>IFERROR(IF(tblInputSheet[[#This Row],[Provider]] = "-", "", VLOOKUP(tblInputSheet[[#This Row],[Provider]], tblParticipants[], 1,FALSE)), "")</f>
        <v>NA</v>
      </c>
      <c r="K18" s="6" t="str">
        <f>IFERROR(IF(tblInputSheet[[#This Row],[Consumer]] = "-", "", VLOOKUP(tblInputSheet[[#This Row],[Consumer]], tblParticipants[], 2,FALSE)), "")</f>
        <v>PP000</v>
      </c>
      <c r="L18" s="6" t="str">
        <f>IFERROR(IF(tblInputSheet[[#This Row],[Consumer]] = "-", "", VLOOKUP(tblInputSheet[[#This Row],[Consumer]], tblParticipants[], 1,FALSE)), "")</f>
        <v>NA</v>
      </c>
      <c r="M18" s="6" t="str">
        <f>IFERROR(IF(tblInputSheet[[#This Row],[Integration Pattern]] = "-", "", VLOOKUP(tblInputSheet[[#This Row],[Integration Pattern]], tblIntegrationPartten[], 2,FALSE)), "")</f>
        <v>IP000</v>
      </c>
      <c r="N18" s="6" t="str">
        <f>IFERROR(IF(tblInputSheet[[#This Row],[Integration Pattern]] = "-", "", VLOOKUP(tblInputSheet[[#This Row],[Integration Pattern]], tblIntegrationPartten[], 1,FALSE)), "")</f>
        <v>Group</v>
      </c>
      <c r="O18" s="6" t="str">
        <f>tblDisplaySheet[[#This Row],[Current State]]</f>
        <v>Y</v>
      </c>
      <c r="P18" s="6" t="str">
        <f>tblDisplaySheet[[#This Row],[Confidence Factor]]</f>
        <v>Group</v>
      </c>
      <c r="Q18" s="6">
        <f>tblDisplaySheet[[#This Row],[Count of Invocations]]</f>
        <v>0</v>
      </c>
      <c r="R18" s="6">
        <f>tblDisplaySheet[[#This Row],[DB Calls (ms)]]</f>
        <v>0</v>
      </c>
      <c r="S18" s="6">
        <f>tblDisplaySheet[[#This Row],[Logic (ms)]]</f>
        <v>0</v>
      </c>
      <c r="T18" s="6">
        <f>tblDisplaySheet[[#This Row],[Rules (ms)]]</f>
        <v>0</v>
      </c>
      <c r="U18" s="6">
        <f>tblDisplaySheet[[#This Row],[Latency (ms)]]</f>
        <v>0</v>
      </c>
      <c r="V18" s="6">
        <f>tblDisplaySheet[[#This Row],[Total Process Path Length]]</f>
        <v>42</v>
      </c>
      <c r="W18" s="6">
        <f>tblDisplaySheet[[#This Row],[Total Process Time]]</f>
        <v>0</v>
      </c>
      <c r="X18" s="6">
        <f>tblDisplaySheet[[#This Row],[Total Process Path Length]]</f>
        <v>42</v>
      </c>
      <c r="Y18" s="6">
        <f>tblDisplaySheet[[#This Row],[Process NFR]]</f>
        <v>0</v>
      </c>
      <c r="Z18" s="6">
        <f>tblDisplaySheet[[#This Row],[Total Process NFR]]</f>
        <v>0</v>
      </c>
      <c r="AA18" s="6">
        <f>tblDisplaySheet[[#This Row],[Total Process Path Length NFR]]</f>
        <v>45</v>
      </c>
      <c r="AB18" s="6" t="str">
        <f>tblDisplaySheet[[#This Row],[Status]]</f>
        <v>On Target</v>
      </c>
      <c r="AC18" s="6" t="str">
        <f>tblDisplaySheet[[#This Row],[Status]]</f>
        <v>On Target</v>
      </c>
      <c r="AD18" s="6" t="str">
        <f>tblDisplaySheet[[#This Row],[Is Leaf?]]</f>
        <v>G</v>
      </c>
      <c r="AE18" s="6" t="str">
        <f>tblDisplaySheet[[#This Row],[Owner]]</f>
        <v>Alak</v>
      </c>
    </row>
    <row r="19" spans="1:31" x14ac:dyDescent="0.25">
      <c r="A19" s="6">
        <f>tblDisplaySheet[[#This Row],[Link]]</f>
        <v>16</v>
      </c>
      <c r="B19" s="6">
        <f>tblDisplaySheet[[#This Row],[Level]]</f>
        <v>3</v>
      </c>
      <c r="C19" s="6">
        <f>tblDisplaySheet[[#This Row],[Sl.No]]</f>
        <v>17</v>
      </c>
      <c r="D19" s="6" t="str">
        <f>tblDisplaySheet[[#This Row],[Group]]</f>
        <v>Claim Mainline</v>
      </c>
      <c r="E19" s="6" t="str">
        <f>TEXT(tblInputSheet[[#This Row],[Sl.No]], "000")&amp; ":"&amp; tblInputSheet[[#This Row],[Process]]</f>
        <v>017:Claim Mainline</v>
      </c>
      <c r="F19" s="6" t="str">
        <f>IFERROR(IF(tblInputSheet[[#This Row],[Process]] = "", "", REPT("*",Demo!$A19)&amp;""&amp;tblInputSheet[[#This Row],[Process]]), "")</f>
        <v>***Claim Mainline</v>
      </c>
      <c r="G19" s="6" t="str">
        <f>IFERROR(IF(tblInputSheet[[#This Row],[Hosted Platform]] = "-", "", VLOOKUP(tblInputSheet[[#This Row],[Hosted Platform]], tblHosted_PlatformOwner[], 2,FALSE)), "")</f>
        <v>CC004</v>
      </c>
      <c r="H19" s="6" t="str">
        <f>IFERROR(IF(tblInputSheet[[#This Row],[Hosted Platform]] = "-", "", VLOOKUP(tblInputSheet[[#This Row],[Hosted Platform]], tblHosted_PlatformOwner[], 1,FALSE)), "")</f>
        <v>Legacy BC</v>
      </c>
      <c r="I19" s="6" t="str">
        <f>IFERROR(IF(tblInputSheet[[#This Row],[Provider]] = "-", "", VLOOKUP(tblInputSheet[[#This Row],[Provider]], tblParticipants[], 2,FALSE)), "")</f>
        <v>PP004</v>
      </c>
      <c r="J19" s="6" t="str">
        <f>IFERROR(IF(tblInputSheet[[#This Row],[Provider]] = "-", "", VLOOKUP(tblInputSheet[[#This Row],[Provider]], tblParticipants[], 1,FALSE)), "")</f>
        <v>Claims-Legacy</v>
      </c>
      <c r="K19" s="6" t="str">
        <f>IFERROR(IF(tblInputSheet[[#This Row],[Consumer]] = "-", "", VLOOKUP(tblInputSheet[[#This Row],[Consumer]], tblParticipants[], 2,FALSE)), "")</f>
        <v>PP004</v>
      </c>
      <c r="L19" s="6" t="str">
        <f>IFERROR(IF(tblInputSheet[[#This Row],[Consumer]] = "-", "", VLOOKUP(tblInputSheet[[#This Row],[Consumer]], tblParticipants[], 1,FALSE)), "")</f>
        <v>Claims-Legacy</v>
      </c>
      <c r="M19" s="6" t="str">
        <f>IFERROR(IF(tblInputSheet[[#This Row],[Integration Pattern]] = "-", "", VLOOKUP(tblInputSheet[[#This Row],[Integration Pattern]], tblIntegrationPartten[], 2,FALSE)), "")</f>
        <v>IP010</v>
      </c>
      <c r="N19" s="6" t="str">
        <f>IFERROR(IF(tblInputSheet[[#This Row],[Integration Pattern]] = "-", "", VLOOKUP(tblInputSheet[[#This Row],[Integration Pattern]], tblIntegrationPartten[], 1,FALSE)), "")</f>
        <v>BC Internal</v>
      </c>
      <c r="O19" s="6" t="str">
        <f>tblDisplaySheet[[#This Row],[Current State]]</f>
        <v>Y</v>
      </c>
      <c r="P19" s="6" t="str">
        <f>tblDisplaySheet[[#This Row],[Confidence Factor]]</f>
        <v>Medium</v>
      </c>
      <c r="Q19" s="6">
        <f>tblDisplaySheet[[#This Row],[Count of Invocations]]</f>
        <v>1</v>
      </c>
      <c r="R19" s="6">
        <f>tblDisplaySheet[[#This Row],[DB Calls (ms)]]</f>
        <v>0</v>
      </c>
      <c r="S19" s="6">
        <f>tblDisplaySheet[[#This Row],[Logic (ms)]]</f>
        <v>42</v>
      </c>
      <c r="T19" s="6">
        <f>tblDisplaySheet[[#This Row],[Rules (ms)]]</f>
        <v>0</v>
      </c>
      <c r="U19" s="6">
        <f>tblDisplaySheet[[#This Row],[Latency (ms)]]</f>
        <v>0</v>
      </c>
      <c r="V19" s="6">
        <f>tblDisplaySheet[[#This Row],[Total Process Path Length]]</f>
        <v>42</v>
      </c>
      <c r="W19" s="6">
        <f>tblDisplaySheet[[#This Row],[Total Process Time]]</f>
        <v>42</v>
      </c>
      <c r="X19" s="6">
        <f>tblDisplaySheet[[#This Row],[Total Process Path Length]]</f>
        <v>42</v>
      </c>
      <c r="Y19" s="6">
        <f>tblDisplaySheet[[#This Row],[Process NFR]]</f>
        <v>45</v>
      </c>
      <c r="Z19" s="6">
        <f>tblDisplaySheet[[#This Row],[Total Process NFR]]</f>
        <v>45</v>
      </c>
      <c r="AA19" s="6">
        <f>tblDisplaySheet[[#This Row],[Total Process Path Length NFR]]</f>
        <v>45</v>
      </c>
      <c r="AB19" s="6" t="str">
        <f>tblDisplaySheet[[#This Row],[Status]]</f>
        <v>On Target</v>
      </c>
      <c r="AC19" s="6" t="str">
        <f>tblDisplaySheet[[#This Row],[Status]]</f>
        <v>On Target</v>
      </c>
      <c r="AD19" s="6" t="str">
        <f>tblDisplaySheet[[#This Row],[Is Leaf?]]</f>
        <v>Y</v>
      </c>
      <c r="AE19" s="6" t="str">
        <f>tblDisplaySheet[[#This Row],[Owner]]</f>
        <v>Alak</v>
      </c>
    </row>
    <row r="20" spans="1:31" x14ac:dyDescent="0.25">
      <c r="A20" s="6">
        <f>tblDisplaySheet[[#This Row],[Link]]</f>
        <v>2</v>
      </c>
      <c r="B20" s="6">
        <f>tblDisplaySheet[[#This Row],[Level]]</f>
        <v>2</v>
      </c>
      <c r="C20" s="6">
        <f>tblDisplaySheet[[#This Row],[Sl.No]]</f>
        <v>18</v>
      </c>
      <c r="D20" s="6" t="str">
        <f>tblDisplaySheet[[#This Row],[Group]]</f>
        <v>Service Level</v>
      </c>
      <c r="E20" s="6" t="str">
        <f>TEXT(tblInputSheet[[#This Row],[Sl.No]], "000")&amp; ":"&amp; tblInputSheet[[#This Row],[Process]]</f>
        <v>018:Service Level</v>
      </c>
      <c r="F20" s="6" t="str">
        <f>IFERROR(IF(tblInputSheet[[#This Row],[Process]] = "", "", REPT("*",Demo!$A20)&amp;""&amp;tblInputSheet[[#This Row],[Process]]), "")</f>
        <v>**Service Level</v>
      </c>
      <c r="G20" s="6" t="str">
        <f>IFERROR(IF(tblInputSheet[[#This Row],[Hosted Platform]] = "-", "", VLOOKUP(tblInputSheet[[#This Row],[Hosted Platform]], tblHosted_PlatformOwner[], 2,FALSE)), "")</f>
        <v>CC000</v>
      </c>
      <c r="H20" s="6" t="str">
        <f>IFERROR(IF(tblInputSheet[[#This Row],[Hosted Platform]] = "-", "", VLOOKUP(tblInputSheet[[#This Row],[Hosted Platform]], tblHosted_PlatformOwner[], 1,FALSE)), "")</f>
        <v>Business Process</v>
      </c>
      <c r="I20" s="6" t="str">
        <f>IFERROR(IF(tblInputSheet[[#This Row],[Provider]] = "-", "", VLOOKUP(tblInputSheet[[#This Row],[Provider]], tblParticipants[], 2,FALSE)), "")</f>
        <v>PP000</v>
      </c>
      <c r="J20" s="6" t="str">
        <f>IFERROR(IF(tblInputSheet[[#This Row],[Provider]] = "-", "", VLOOKUP(tblInputSheet[[#This Row],[Provider]], tblParticipants[], 1,FALSE)), "")</f>
        <v>NA</v>
      </c>
      <c r="K20" s="6" t="str">
        <f>IFERROR(IF(tblInputSheet[[#This Row],[Consumer]] = "-", "", VLOOKUP(tblInputSheet[[#This Row],[Consumer]], tblParticipants[], 2,FALSE)), "")</f>
        <v>PP000</v>
      </c>
      <c r="L20" s="6" t="str">
        <f>IFERROR(IF(tblInputSheet[[#This Row],[Consumer]] = "-", "", VLOOKUP(tblInputSheet[[#This Row],[Consumer]], tblParticipants[], 1,FALSE)), "")</f>
        <v>NA</v>
      </c>
      <c r="M20" s="6" t="str">
        <f>IFERROR(IF(tblInputSheet[[#This Row],[Integration Pattern]] = "-", "", VLOOKUP(tblInputSheet[[#This Row],[Integration Pattern]], tblIntegrationPartten[], 2,FALSE)), "")</f>
        <v>IP000</v>
      </c>
      <c r="N20" s="6" t="str">
        <f>IFERROR(IF(tblInputSheet[[#This Row],[Integration Pattern]] = "-", "", VLOOKUP(tblInputSheet[[#This Row],[Integration Pattern]], tblIntegrationPartten[], 1,FALSE)), "")</f>
        <v>Group</v>
      </c>
      <c r="O20" s="6" t="str">
        <f>tblDisplaySheet[[#This Row],[Current State]]</f>
        <v>Y</v>
      </c>
      <c r="P20" s="6" t="str">
        <f>tblDisplaySheet[[#This Row],[Confidence Factor]]</f>
        <v>Group</v>
      </c>
      <c r="Q20" s="6">
        <f>tblDisplaySheet[[#This Row],[Count of Invocations]]</f>
        <v>0</v>
      </c>
      <c r="R20" s="6">
        <f>tblDisplaySheet[[#This Row],[DB Calls (ms)]]</f>
        <v>0</v>
      </c>
      <c r="S20" s="6">
        <f>tblDisplaySheet[[#This Row],[Logic (ms)]]</f>
        <v>0</v>
      </c>
      <c r="T20" s="6">
        <f>tblDisplaySheet[[#This Row],[Rules (ms)]]</f>
        <v>0</v>
      </c>
      <c r="U20" s="6">
        <f>tblDisplaySheet[[#This Row],[Latency (ms)]]</f>
        <v>0</v>
      </c>
      <c r="V20" s="6">
        <f>tblDisplaySheet[[#This Row],[Total Process Path Length]]</f>
        <v>3890</v>
      </c>
      <c r="W20" s="6">
        <f>tblDisplaySheet[[#This Row],[Total Process Time]]</f>
        <v>0</v>
      </c>
      <c r="X20" s="6">
        <f>tblDisplaySheet[[#This Row],[Total Process Path Length]]</f>
        <v>3890</v>
      </c>
      <c r="Y20" s="6">
        <f>tblDisplaySheet[[#This Row],[Process NFR]]</f>
        <v>0</v>
      </c>
      <c r="Z20" s="6">
        <f>tblDisplaySheet[[#This Row],[Total Process NFR]]</f>
        <v>0</v>
      </c>
      <c r="AA20" s="6">
        <f>tblDisplaySheet[[#This Row],[Total Process Path Length NFR]]</f>
        <v>4238</v>
      </c>
      <c r="AB20" s="6" t="str">
        <f>tblDisplaySheet[[#This Row],[Status]]</f>
        <v>On Target</v>
      </c>
      <c r="AC20" s="6" t="str">
        <f>tblDisplaySheet[[#This Row],[Status]]</f>
        <v>On Target</v>
      </c>
      <c r="AD20" s="6" t="str">
        <f>tblDisplaySheet[[#This Row],[Is Leaf?]]</f>
        <v>G</v>
      </c>
      <c r="AE20" s="6" t="str">
        <f>tblDisplaySheet[[#This Row],[Owner]]</f>
        <v>Alak</v>
      </c>
    </row>
    <row r="21" spans="1:31" x14ac:dyDescent="0.25">
      <c r="A21" s="6">
        <f>tblDisplaySheet[[#This Row],[Link]]</f>
        <v>18</v>
      </c>
      <c r="B21" s="6">
        <f>tblDisplaySheet[[#This Row],[Level]]</f>
        <v>3</v>
      </c>
      <c r="C21" s="6">
        <f>tblDisplaySheet[[#This Row],[Sl.No]]</f>
        <v>19</v>
      </c>
      <c r="D21" s="6" t="str">
        <f>tblDisplaySheet[[#This Row],[Group]]</f>
        <v>Service Level</v>
      </c>
      <c r="E21" s="6" t="str">
        <f>TEXT(tblInputSheet[[#This Row],[Sl.No]], "000")&amp; ":"&amp; tblInputSheet[[#This Row],[Process]]</f>
        <v>019:Service Mainline</v>
      </c>
      <c r="F21" s="6" t="str">
        <f>IFERROR(IF(tblInputSheet[[#This Row],[Process]] = "", "", REPT("*",Demo!$A21)&amp;""&amp;tblInputSheet[[#This Row],[Process]]), "")</f>
        <v>***Service Mainline</v>
      </c>
      <c r="G21" s="6" t="str">
        <f>IFERROR(IF(tblInputSheet[[#This Row],[Hosted Platform]] = "-", "", VLOOKUP(tblInputSheet[[#This Row],[Hosted Platform]], tblHosted_PlatformOwner[], 2,FALSE)), "")</f>
        <v>CC004</v>
      </c>
      <c r="H21" s="6" t="str">
        <f>IFERROR(IF(tblInputSheet[[#This Row],[Hosted Platform]] = "-", "", VLOOKUP(tblInputSheet[[#This Row],[Hosted Platform]], tblHosted_PlatformOwner[], 1,FALSE)), "")</f>
        <v>Legacy BC</v>
      </c>
      <c r="I21" s="6" t="str">
        <f>IFERROR(IF(tblInputSheet[[#This Row],[Provider]] = "-", "", VLOOKUP(tblInputSheet[[#This Row],[Provider]], tblParticipants[], 2,FALSE)), "")</f>
        <v>PP004</v>
      </c>
      <c r="J21" s="6" t="str">
        <f>IFERROR(IF(tblInputSheet[[#This Row],[Provider]] = "-", "", VLOOKUP(tblInputSheet[[#This Row],[Provider]], tblParticipants[], 1,FALSE)), "")</f>
        <v>Claims-Legacy</v>
      </c>
      <c r="K21" s="6" t="str">
        <f>IFERROR(IF(tblInputSheet[[#This Row],[Consumer]] = "-", "", VLOOKUP(tblInputSheet[[#This Row],[Consumer]], tblParticipants[], 2,FALSE)), "")</f>
        <v>PP004</v>
      </c>
      <c r="L21" s="6" t="str">
        <f>IFERROR(IF(tblInputSheet[[#This Row],[Consumer]] = "-", "", VLOOKUP(tblInputSheet[[#This Row],[Consumer]], tblParticipants[], 1,FALSE)), "")</f>
        <v>Claims-Legacy</v>
      </c>
      <c r="M21" s="6" t="str">
        <f>IFERROR(IF(tblInputSheet[[#This Row],[Integration Pattern]] = "-", "", VLOOKUP(tblInputSheet[[#This Row],[Integration Pattern]], tblIntegrationPartten[], 2,FALSE)), "")</f>
        <v>IP010</v>
      </c>
      <c r="N21" s="6" t="str">
        <f>IFERROR(IF(tblInputSheet[[#This Row],[Integration Pattern]] = "-", "", VLOOKUP(tblInputSheet[[#This Row],[Integration Pattern]], tblIntegrationPartten[], 1,FALSE)), "")</f>
        <v>BC Internal</v>
      </c>
      <c r="O21" s="6" t="str">
        <f>tblDisplaySheet[[#This Row],[Current State]]</f>
        <v>Y</v>
      </c>
      <c r="P21" s="6" t="str">
        <f>tblDisplaySheet[[#This Row],[Confidence Factor]]</f>
        <v>Low</v>
      </c>
      <c r="Q21" s="6">
        <f>tblDisplaySheet[[#This Row],[Count of Invocations]]</f>
        <v>1</v>
      </c>
      <c r="R21" s="6">
        <f>tblDisplaySheet[[#This Row],[DB Calls (ms)]]</f>
        <v>1</v>
      </c>
      <c r="S21" s="6">
        <f>tblDisplaySheet[[#This Row],[Logic (ms)]]</f>
        <v>5</v>
      </c>
      <c r="T21" s="6">
        <f>tblDisplaySheet[[#This Row],[Rules (ms)]]</f>
        <v>0</v>
      </c>
      <c r="U21" s="6">
        <f>tblDisplaySheet[[#This Row],[Latency (ms)]]</f>
        <v>1</v>
      </c>
      <c r="V21" s="6">
        <f>tblDisplaySheet[[#This Row],[Total Process Path Length]]</f>
        <v>3890</v>
      </c>
      <c r="W21" s="6">
        <f>tblDisplaySheet[[#This Row],[Total Process Time]]</f>
        <v>7</v>
      </c>
      <c r="X21" s="6">
        <f>tblDisplaySheet[[#This Row],[Total Process Path Length]]</f>
        <v>3890</v>
      </c>
      <c r="Y21" s="6">
        <f>tblDisplaySheet[[#This Row],[Process NFR]]</f>
        <v>10</v>
      </c>
      <c r="Z21" s="6">
        <f>tblDisplaySheet[[#This Row],[Total Process NFR]]</f>
        <v>10</v>
      </c>
      <c r="AA21" s="6">
        <f>tblDisplaySheet[[#This Row],[Total Process Path Length NFR]]</f>
        <v>4238</v>
      </c>
      <c r="AB21" s="6" t="str">
        <f>tblDisplaySheet[[#This Row],[Status]]</f>
        <v>On Target</v>
      </c>
      <c r="AC21" s="6" t="str">
        <f>tblDisplaySheet[[#This Row],[Status]]</f>
        <v>On Target</v>
      </c>
      <c r="AD21" s="6" t="str">
        <f>tblDisplaySheet[[#This Row],[Is Leaf?]]</f>
        <v>N</v>
      </c>
      <c r="AE21" s="6" t="str">
        <f>tblDisplaySheet[[#This Row],[Owner]]</f>
        <v>Alak</v>
      </c>
    </row>
    <row r="22" spans="1:31" x14ac:dyDescent="0.25">
      <c r="A22" s="6">
        <f>tblDisplaySheet[[#This Row],[Link]]</f>
        <v>19</v>
      </c>
      <c r="B22" s="6">
        <f>tblDisplaySheet[[#This Row],[Level]]</f>
        <v>4</v>
      </c>
      <c r="C22" s="6">
        <f>tblDisplaySheet[[#This Row],[Sl.No]]</f>
        <v>20</v>
      </c>
      <c r="D22" s="6" t="str">
        <f>tblDisplaySheet[[#This Row],[Group]]</f>
        <v>Service Level</v>
      </c>
      <c r="E22" s="6" t="str">
        <f>TEXT(tblInputSheet[[#This Row],[Sl.No]], "000")&amp; ":"&amp; tblInputSheet[[#This Row],[Process]]</f>
        <v>020:ITS Module</v>
      </c>
      <c r="F22" s="6" t="str">
        <f>IFERROR(IF(tblInputSheet[[#This Row],[Process]] = "", "", REPT("*",Demo!$A22)&amp;""&amp;tblInputSheet[[#This Row],[Process]]), "")</f>
        <v>****ITS Module</v>
      </c>
      <c r="G22" s="6" t="str">
        <f>IFERROR(IF(tblInputSheet[[#This Row],[Hosted Platform]] = "-", "", VLOOKUP(tblInputSheet[[#This Row],[Hosted Platform]], tblHosted_PlatformOwner[], 2,FALSE)), "")</f>
        <v>CC004</v>
      </c>
      <c r="H22" s="6" t="str">
        <f>IFERROR(IF(tblInputSheet[[#This Row],[Hosted Platform]] = "-", "", VLOOKUP(tblInputSheet[[#This Row],[Hosted Platform]], tblHosted_PlatformOwner[], 1,FALSE)), "")</f>
        <v>Legacy BC</v>
      </c>
      <c r="I22" s="6" t="str">
        <f>IFERROR(IF(tblInputSheet[[#This Row],[Provider]] = "-", "", VLOOKUP(tblInputSheet[[#This Row],[Provider]], tblParticipants[], 2,FALSE)), "")</f>
        <v>PP004</v>
      </c>
      <c r="J22" s="6" t="str">
        <f>IFERROR(IF(tblInputSheet[[#This Row],[Provider]] = "-", "", VLOOKUP(tblInputSheet[[#This Row],[Provider]], tblParticipants[], 1,FALSE)), "")</f>
        <v>Claims-Legacy</v>
      </c>
      <c r="K22" s="6" t="str">
        <f>IFERROR(IF(tblInputSheet[[#This Row],[Consumer]] = "-", "", VLOOKUP(tblInputSheet[[#This Row],[Consumer]], tblParticipants[], 2,FALSE)), "")</f>
        <v>PP004</v>
      </c>
      <c r="L22" s="6" t="str">
        <f>IFERROR(IF(tblInputSheet[[#This Row],[Consumer]] = "-", "", VLOOKUP(tblInputSheet[[#This Row],[Consumer]], tblParticipants[], 1,FALSE)), "")</f>
        <v>Claims-Legacy</v>
      </c>
      <c r="M22" s="6" t="str">
        <f>IFERROR(IF(tblInputSheet[[#This Row],[Integration Pattern]] = "-", "", VLOOKUP(tblInputSheet[[#This Row],[Integration Pattern]], tblIntegrationPartten[], 2,FALSE)), "")</f>
        <v>IP010</v>
      </c>
      <c r="N22" s="6" t="str">
        <f>IFERROR(IF(tblInputSheet[[#This Row],[Integration Pattern]] = "-", "", VLOOKUP(tblInputSheet[[#This Row],[Integration Pattern]], tblIntegrationPartten[], 1,FALSE)), "")</f>
        <v>BC Internal</v>
      </c>
      <c r="O22" s="6" t="str">
        <f>tblDisplaySheet[[#This Row],[Current State]]</f>
        <v>Y</v>
      </c>
      <c r="P22" s="6" t="str">
        <f>tblDisplaySheet[[#This Row],[Confidence Factor]]</f>
        <v>Low</v>
      </c>
      <c r="Q22" s="6">
        <f>tblDisplaySheet[[#This Row],[Count of Invocations]]</f>
        <v>1</v>
      </c>
      <c r="R22" s="6">
        <f>tblDisplaySheet[[#This Row],[DB Calls (ms)]]</f>
        <v>1</v>
      </c>
      <c r="S22" s="6">
        <f>tblDisplaySheet[[#This Row],[Logic (ms)]]</f>
        <v>5</v>
      </c>
      <c r="T22" s="6">
        <f>tblDisplaySheet[[#This Row],[Rules (ms)]]</f>
        <v>0</v>
      </c>
      <c r="U22" s="6">
        <f>tblDisplaySheet[[#This Row],[Latency (ms)]]</f>
        <v>1</v>
      </c>
      <c r="V22" s="6">
        <f>tblDisplaySheet[[#This Row],[Total Process Path Length]]</f>
        <v>7</v>
      </c>
      <c r="W22" s="6">
        <f>tblDisplaySheet[[#This Row],[Total Process Time]]</f>
        <v>7</v>
      </c>
      <c r="X22" s="6">
        <f>tblDisplaySheet[[#This Row],[Total Process Path Length]]</f>
        <v>7</v>
      </c>
      <c r="Y22" s="6">
        <f>tblDisplaySheet[[#This Row],[Process NFR]]</f>
        <v>10</v>
      </c>
      <c r="Z22" s="6">
        <f>tblDisplaySheet[[#This Row],[Total Process NFR]]</f>
        <v>10</v>
      </c>
      <c r="AA22" s="6">
        <f>tblDisplaySheet[[#This Row],[Total Process Path Length NFR]]</f>
        <v>10</v>
      </c>
      <c r="AB22" s="6" t="str">
        <f>tblDisplaySheet[[#This Row],[Status]]</f>
        <v>On Target</v>
      </c>
      <c r="AC22" s="6" t="str">
        <f>tblDisplaySheet[[#This Row],[Status]]</f>
        <v>On Target</v>
      </c>
      <c r="AD22" s="6" t="str">
        <f>tblDisplaySheet[[#This Row],[Is Leaf?]]</f>
        <v>Y</v>
      </c>
      <c r="AE22" s="6" t="str">
        <f>tblDisplaySheet[[#This Row],[Owner]]</f>
        <v>Alak</v>
      </c>
    </row>
    <row r="23" spans="1:31" x14ac:dyDescent="0.25">
      <c r="A23" s="6">
        <f>tblDisplaySheet[[#This Row],[Link]]</f>
        <v>19</v>
      </c>
      <c r="B23" s="6">
        <f>tblDisplaySheet[[#This Row],[Level]]</f>
        <v>4</v>
      </c>
      <c r="C23" s="6">
        <f>tblDisplaySheet[[#This Row],[Sl.No]]</f>
        <v>21</v>
      </c>
      <c r="D23" s="6" t="str">
        <f>tblDisplaySheet[[#This Row],[Group]]</f>
        <v>Service Level</v>
      </c>
      <c r="E23" s="6" t="str">
        <f>TEXT(tblInputSheet[[#This Row],[Sl.No]], "000")&amp; ":"&amp; tblInputSheet[[#This Row],[Process]]</f>
        <v>021:TPL Select</v>
      </c>
      <c r="F23" s="6" t="str">
        <f>IFERROR(IF(tblInputSheet[[#This Row],[Process]] = "", "", REPT("*",Demo!$A23)&amp;""&amp;tblInputSheet[[#This Row],[Process]]), "")</f>
        <v>****TPL Select</v>
      </c>
      <c r="G23" s="6" t="str">
        <f>IFERROR(IF(tblInputSheet[[#This Row],[Hosted Platform]] = "-", "", VLOOKUP(tblInputSheet[[#This Row],[Hosted Platform]], tblHosted_PlatformOwner[], 2,FALSE)), "")</f>
        <v>CC004</v>
      </c>
      <c r="H23" s="6" t="str">
        <f>IFERROR(IF(tblInputSheet[[#This Row],[Hosted Platform]] = "-", "", VLOOKUP(tblInputSheet[[#This Row],[Hosted Platform]], tblHosted_PlatformOwner[], 1,FALSE)), "")</f>
        <v>Legacy BC</v>
      </c>
      <c r="I23" s="6" t="str">
        <f>IFERROR(IF(tblInputSheet[[#This Row],[Provider]] = "-", "", VLOOKUP(tblInputSheet[[#This Row],[Provider]], tblParticipants[], 2,FALSE)), "")</f>
        <v>PP004</v>
      </c>
      <c r="J23" s="6" t="str">
        <f>IFERROR(IF(tblInputSheet[[#This Row],[Provider]] = "-", "", VLOOKUP(tblInputSheet[[#This Row],[Provider]], tblParticipants[], 1,FALSE)), "")</f>
        <v>Claims-Legacy</v>
      </c>
      <c r="K23" s="6" t="str">
        <f>IFERROR(IF(tblInputSheet[[#This Row],[Consumer]] = "-", "", VLOOKUP(tblInputSheet[[#This Row],[Consumer]], tblParticipants[], 2,FALSE)), "")</f>
        <v>PP004</v>
      </c>
      <c r="L23" s="6" t="str">
        <f>IFERROR(IF(tblInputSheet[[#This Row],[Consumer]] = "-", "", VLOOKUP(tblInputSheet[[#This Row],[Consumer]], tblParticipants[], 1,FALSE)), "")</f>
        <v>Claims-Legacy</v>
      </c>
      <c r="M23" s="6" t="str">
        <f>IFERROR(IF(tblInputSheet[[#This Row],[Integration Pattern]] = "-", "", VLOOKUP(tblInputSheet[[#This Row],[Integration Pattern]], tblIntegrationPartten[], 2,FALSE)), "")</f>
        <v>IP010</v>
      </c>
      <c r="N23" s="6" t="str">
        <f>IFERROR(IF(tblInputSheet[[#This Row],[Integration Pattern]] = "-", "", VLOOKUP(tblInputSheet[[#This Row],[Integration Pattern]], tblIntegrationPartten[], 1,FALSE)), "")</f>
        <v>BC Internal</v>
      </c>
      <c r="O23" s="6" t="str">
        <f>tblDisplaySheet[[#This Row],[Current State]]</f>
        <v>Y</v>
      </c>
      <c r="P23" s="6" t="str">
        <f>tblDisplaySheet[[#This Row],[Confidence Factor]]</f>
        <v>Low</v>
      </c>
      <c r="Q23" s="6">
        <f>tblDisplaySheet[[#This Row],[Count of Invocations]]</f>
        <v>1</v>
      </c>
      <c r="R23" s="6">
        <f>tblDisplaySheet[[#This Row],[DB Calls (ms)]]</f>
        <v>1</v>
      </c>
      <c r="S23" s="6">
        <f>tblDisplaySheet[[#This Row],[Logic (ms)]]</f>
        <v>5</v>
      </c>
      <c r="T23" s="6">
        <f>tblDisplaySheet[[#This Row],[Rules (ms)]]</f>
        <v>0</v>
      </c>
      <c r="U23" s="6">
        <f>tblDisplaySheet[[#This Row],[Latency (ms)]]</f>
        <v>1</v>
      </c>
      <c r="V23" s="6">
        <f>tblDisplaySheet[[#This Row],[Total Process Path Length]]</f>
        <v>7</v>
      </c>
      <c r="W23" s="6">
        <f>tblDisplaySheet[[#This Row],[Total Process Time]]</f>
        <v>7</v>
      </c>
      <c r="X23" s="6">
        <f>tblDisplaySheet[[#This Row],[Total Process Path Length]]</f>
        <v>7</v>
      </c>
      <c r="Y23" s="6">
        <f>tblDisplaySheet[[#This Row],[Process NFR]]</f>
        <v>10</v>
      </c>
      <c r="Z23" s="6">
        <f>tblDisplaySheet[[#This Row],[Total Process NFR]]</f>
        <v>10</v>
      </c>
      <c r="AA23" s="6">
        <f>tblDisplaySheet[[#This Row],[Total Process Path Length NFR]]</f>
        <v>10</v>
      </c>
      <c r="AB23" s="6" t="str">
        <f>tblDisplaySheet[[#This Row],[Status]]</f>
        <v>On Target</v>
      </c>
      <c r="AC23" s="6" t="str">
        <f>tblDisplaySheet[[#This Row],[Status]]</f>
        <v>On Target</v>
      </c>
      <c r="AD23" s="6" t="str">
        <f>tblDisplaySheet[[#This Row],[Is Leaf?]]</f>
        <v>Y</v>
      </c>
      <c r="AE23" s="6" t="str">
        <f>tblDisplaySheet[[#This Row],[Owner]]</f>
        <v>Alak</v>
      </c>
    </row>
    <row r="24" spans="1:31" x14ac:dyDescent="0.25">
      <c r="A24" s="6">
        <f>tblDisplaySheet[[#This Row],[Link]]</f>
        <v>19</v>
      </c>
      <c r="B24" s="6">
        <f>tblDisplaySheet[[#This Row],[Level]]</f>
        <v>4</v>
      </c>
      <c r="C24" s="6">
        <f>tblDisplaySheet[[#This Row],[Sl.No]]</f>
        <v>22</v>
      </c>
      <c r="D24" s="6" t="str">
        <f>tblDisplaySheet[[#This Row],[Group]]</f>
        <v>Service Level</v>
      </c>
      <c r="E24" s="6" t="str">
        <f>TEXT(tblInputSheet[[#This Row],[Sl.No]], "000")&amp; ":"&amp; tblInputSheet[[#This Row],[Process]]</f>
        <v xml:space="preserve">022:Service Level Mule Adapter </v>
      </c>
      <c r="F24" s="6" t="str">
        <f>IFERROR(IF(tblInputSheet[[#This Row],[Process]] = "", "", REPT("*",Demo!$A24)&amp;""&amp;tblInputSheet[[#This Row],[Process]]), "")</f>
        <v xml:space="preserve">****Service Level Mule Adapter </v>
      </c>
      <c r="G24" s="6" t="str">
        <f>IFERROR(IF(tblInputSheet[[#This Row],[Hosted Platform]] = "-", "", VLOOKUP(tblInputSheet[[#This Row],[Hosted Platform]], tblHosted_PlatformOwner[], 2,FALSE)), "")</f>
        <v>CC002</v>
      </c>
      <c r="H24" s="6" t="str">
        <f>IFERROR(IF(tblInputSheet[[#This Row],[Hosted Platform]] = "-", "", VLOOKUP(tblInputSheet[[#This Row],[Hosted Platform]], tblHosted_PlatformOwner[], 1,FALSE)), "")</f>
        <v>Mule ESB</v>
      </c>
      <c r="I24" s="6" t="str">
        <f>IFERROR(IF(tblInputSheet[[#This Row],[Provider]] = "-", "", VLOOKUP(tblInputSheet[[#This Row],[Provider]], tblParticipants[], 2,FALSE)), "")</f>
        <v>PP001</v>
      </c>
      <c r="J24" s="6" t="str">
        <f>IFERROR(IF(tblInputSheet[[#This Row],[Provider]] = "-", "", VLOOKUP(tblInputSheet[[#This Row],[Provider]], tblParticipants[], 1,FALSE)), "")</f>
        <v>Key-Claims Adjudication</v>
      </c>
      <c r="K24" s="6" t="str">
        <f>IFERROR(IF(tblInputSheet[[#This Row],[Consumer]] = "-", "", VLOOKUP(tblInputSheet[[#This Row],[Consumer]], tblParticipants[], 2,FALSE)), "")</f>
        <v>PP001</v>
      </c>
      <c r="L24" s="6" t="str">
        <f>IFERROR(IF(tblInputSheet[[#This Row],[Consumer]] = "-", "", VLOOKUP(tblInputSheet[[#This Row],[Consumer]], tblParticipants[], 1,FALSE)), "")</f>
        <v>Key-Claims Adjudication</v>
      </c>
      <c r="M24" s="6" t="str">
        <f>IFERROR(IF(tblInputSheet[[#This Row],[Integration Pattern]] = "-", "", VLOOKUP(tblInputSheet[[#This Row],[Integration Pattern]], tblIntegrationPartten[], 2,FALSE)), "")</f>
        <v>IP003</v>
      </c>
      <c r="N24" s="6" t="str">
        <f>IFERROR(IF(tblInputSheet[[#This Row],[Integration Pattern]] = "-", "", VLOOKUP(tblInputSheet[[#This Row],[Integration Pattern]], tblIntegrationPartten[], 1,FALSE)), "")</f>
        <v>ESB - MQ Integration</v>
      </c>
      <c r="O24" s="6" t="str">
        <f>tblDisplaySheet[[#This Row],[Current State]]</f>
        <v>Y</v>
      </c>
      <c r="P24" s="6" t="str">
        <f>tblDisplaySheet[[#This Row],[Confidence Factor]]</f>
        <v>Low</v>
      </c>
      <c r="Q24" s="6">
        <f>tblDisplaySheet[[#This Row],[Count of Invocations]]</f>
        <v>1</v>
      </c>
      <c r="R24" s="6">
        <f>tblDisplaySheet[[#This Row],[DB Calls (ms)]]</f>
        <v>0</v>
      </c>
      <c r="S24" s="6">
        <f>tblDisplaySheet[[#This Row],[Logic (ms)]]</f>
        <v>40</v>
      </c>
      <c r="T24" s="6">
        <f>tblDisplaySheet[[#This Row],[Rules (ms)]]</f>
        <v>0</v>
      </c>
      <c r="U24" s="6">
        <f>tblDisplaySheet[[#This Row],[Latency (ms)]]</f>
        <v>25</v>
      </c>
      <c r="V24" s="6">
        <f>tblDisplaySheet[[#This Row],[Total Process Path Length]]</f>
        <v>3819</v>
      </c>
      <c r="W24" s="6">
        <f>tblDisplaySheet[[#This Row],[Total Process Time]]</f>
        <v>65</v>
      </c>
      <c r="X24" s="6">
        <f>tblDisplaySheet[[#This Row],[Total Process Path Length]]</f>
        <v>3819</v>
      </c>
      <c r="Y24" s="6">
        <f>tblDisplaySheet[[#This Row],[Process NFR]]</f>
        <v>65</v>
      </c>
      <c r="Z24" s="6">
        <f>tblDisplaySheet[[#This Row],[Total Process NFR]]</f>
        <v>65</v>
      </c>
      <c r="AA24" s="6">
        <f>tblDisplaySheet[[#This Row],[Total Process Path Length NFR]]</f>
        <v>4158</v>
      </c>
      <c r="AB24" s="6" t="str">
        <f>tblDisplaySheet[[#This Row],[Status]]</f>
        <v>On Target</v>
      </c>
      <c r="AC24" s="6" t="str">
        <f>tblDisplaySheet[[#This Row],[Status]]</f>
        <v>On Target</v>
      </c>
      <c r="AD24" s="6" t="str">
        <f>tblDisplaySheet[[#This Row],[Is Leaf?]]</f>
        <v>N</v>
      </c>
      <c r="AE24" s="6" t="str">
        <f>tblDisplaySheet[[#This Row],[Owner]]</f>
        <v>Alak</v>
      </c>
    </row>
    <row r="25" spans="1:31" x14ac:dyDescent="0.25">
      <c r="A25" s="6">
        <f>tblDisplaySheet[[#This Row],[Link]]</f>
        <v>22</v>
      </c>
      <c r="B25" s="6">
        <f>tblDisplaySheet[[#This Row],[Level]]</f>
        <v>5</v>
      </c>
      <c r="C25" s="6">
        <f>tblDisplaySheet[[#This Row],[Sl.No]]</f>
        <v>23</v>
      </c>
      <c r="D25" s="6" t="str">
        <f>tblDisplaySheet[[#This Row],[Group]]</f>
        <v>Service Level</v>
      </c>
      <c r="E25" s="6" t="str">
        <f>TEXT(tblInputSheet[[#This Row],[Sl.No]], "000")&amp; ":"&amp; tblInputSheet[[#This Row],[Process]]</f>
        <v>023:Claim Adjudication Primier Microservice</v>
      </c>
      <c r="F25" s="6" t="str">
        <f>IFERROR(IF(tblInputSheet[[#This Row],[Process]] = "", "", REPT("*",Demo!$A25)&amp;""&amp;tblInputSheet[[#This Row],[Process]]), "")</f>
        <v>*****Claim Adjudication Primier Microservice</v>
      </c>
      <c r="G25" s="6" t="str">
        <f>IFERROR(IF(tblInputSheet[[#This Row],[Hosted Platform]] = "-", "", VLOOKUP(tblInputSheet[[#This Row],[Hosted Platform]], tblHosted_PlatformOwner[], 2,FALSE)), "")</f>
        <v>CC001</v>
      </c>
      <c r="H25" s="6" t="str">
        <f>IFERROR(IF(tblInputSheet[[#This Row],[Hosted Platform]] = "-", "", VLOOKUP(tblInputSheet[[#This Row],[Hosted Platform]], tblHosted_PlatformOwner[], 1,FALSE)), "")</f>
        <v>PCF</v>
      </c>
      <c r="I25" s="6" t="str">
        <f>IFERROR(IF(tblInputSheet[[#This Row],[Provider]] = "-", "", VLOOKUP(tblInputSheet[[#This Row],[Provider]], tblParticipants[], 2,FALSE)), "")</f>
        <v>PP001</v>
      </c>
      <c r="J25" s="6" t="str">
        <f>IFERROR(IF(tblInputSheet[[#This Row],[Provider]] = "-", "", VLOOKUP(tblInputSheet[[#This Row],[Provider]], tblParticipants[], 1,FALSE)), "")</f>
        <v>Key-Claims Adjudication</v>
      </c>
      <c r="K25" s="6" t="str">
        <f>IFERROR(IF(tblInputSheet[[#This Row],[Consumer]] = "-", "", VLOOKUP(tblInputSheet[[#This Row],[Consumer]], tblParticipants[], 2,FALSE)), "")</f>
        <v>PP001</v>
      </c>
      <c r="L25" s="6" t="str">
        <f>IFERROR(IF(tblInputSheet[[#This Row],[Consumer]] = "-", "", VLOOKUP(tblInputSheet[[#This Row],[Consumer]], tblParticipants[], 1,FALSE)), "")</f>
        <v>Key-Claims Adjudication</v>
      </c>
      <c r="M25" s="6" t="str">
        <f>IFERROR(IF(tblInputSheet[[#This Row],[Integration Pattern]] = "-", "", VLOOKUP(tblInputSheet[[#This Row],[Integration Pattern]], tblIntegrationPartten[], 2,FALSE)), "")</f>
        <v>IP001</v>
      </c>
      <c r="N25" s="6" t="str">
        <f>IFERROR(IF(tblInputSheet[[#This Row],[Integration Pattern]] = "-", "", VLOOKUP(tblInputSheet[[#This Row],[Integration Pattern]], tblIntegrationPartten[], 1,FALSE)), "")</f>
        <v>PCF Internal (C-to-C)</v>
      </c>
      <c r="O25" s="6" t="str">
        <f>tblDisplaySheet[[#This Row],[Current State]]</f>
        <v>Y</v>
      </c>
      <c r="P25" s="6" t="str">
        <f>tblDisplaySheet[[#This Row],[Confidence Factor]]</f>
        <v>Medium</v>
      </c>
      <c r="Q25" s="6">
        <f>tblDisplaySheet[[#This Row],[Count of Invocations]]</f>
        <v>1</v>
      </c>
      <c r="R25" s="6">
        <f>tblDisplaySheet[[#This Row],[DB Calls (ms)]]</f>
        <v>1</v>
      </c>
      <c r="S25" s="6">
        <f>tblDisplaySheet[[#This Row],[Logic (ms)]]</f>
        <v>1</v>
      </c>
      <c r="T25" s="6">
        <f>tblDisplaySheet[[#This Row],[Rules (ms)]]</f>
        <v>1</v>
      </c>
      <c r="U25" s="6">
        <f>tblDisplaySheet[[#This Row],[Latency (ms)]]</f>
        <v>5</v>
      </c>
      <c r="V25" s="6">
        <f>tblDisplaySheet[[#This Row],[Total Process Path Length]]</f>
        <v>3754</v>
      </c>
      <c r="W25" s="6">
        <f>tblDisplaySheet[[#This Row],[Total Process Time]]</f>
        <v>8</v>
      </c>
      <c r="X25" s="6">
        <f>tblDisplaySheet[[#This Row],[Total Process Path Length]]</f>
        <v>3754</v>
      </c>
      <c r="Y25" s="6">
        <f>tblDisplaySheet[[#This Row],[Process NFR]]</f>
        <v>10</v>
      </c>
      <c r="Z25" s="6">
        <f>tblDisplaySheet[[#This Row],[Total Process NFR]]</f>
        <v>10</v>
      </c>
      <c r="AA25" s="6">
        <f>tblDisplaySheet[[#This Row],[Total Process Path Length NFR]]</f>
        <v>4093</v>
      </c>
      <c r="AB25" s="6" t="str">
        <f>tblDisplaySheet[[#This Row],[Status]]</f>
        <v>On Target</v>
      </c>
      <c r="AC25" s="6" t="str">
        <f>tblDisplaySheet[[#This Row],[Status]]</f>
        <v>On Target</v>
      </c>
      <c r="AD25" s="6" t="str">
        <f>tblDisplaySheet[[#This Row],[Is Leaf?]]</f>
        <v>N</v>
      </c>
      <c r="AE25" s="6" t="str">
        <f>tblDisplaySheet[[#This Row],[Owner]]</f>
        <v>Alak</v>
      </c>
    </row>
    <row r="26" spans="1:31" x14ac:dyDescent="0.25">
      <c r="A26" s="6">
        <f>tblDisplaySheet[[#This Row],[Link]]</f>
        <v>23</v>
      </c>
      <c r="B26" s="6">
        <f>tblDisplaySheet[[#This Row],[Level]]</f>
        <v>6</v>
      </c>
      <c r="C26" s="6">
        <f>tblDisplaySheet[[#This Row],[Sl.No]]</f>
        <v>24</v>
      </c>
      <c r="D26" s="6" t="str">
        <f>tblDisplaySheet[[#This Row],[Group]]</f>
        <v>Service Level</v>
      </c>
      <c r="E26" s="6" t="str">
        <f>TEXT(tblInputSheet[[#This Row],[Sl.No]], "000")&amp; ":"&amp; tblInputSheet[[#This Row],[Process]]</f>
        <v>024:Claim Adjudication Sequencer Microservice</v>
      </c>
      <c r="F26" s="6" t="str">
        <f>IFERROR(IF(tblInputSheet[[#This Row],[Process]] = "", "", REPT("*",Demo!$A26)&amp;""&amp;tblInputSheet[[#This Row],[Process]]), "")</f>
        <v>******Claim Adjudication Sequencer Microservice</v>
      </c>
      <c r="G26" s="6" t="str">
        <f>IFERROR(IF(tblInputSheet[[#This Row],[Hosted Platform]] = "-", "", VLOOKUP(tblInputSheet[[#This Row],[Hosted Platform]], tblHosted_PlatformOwner[], 2,FALSE)), "")</f>
        <v>CC001</v>
      </c>
      <c r="H26" s="6" t="str">
        <f>IFERROR(IF(tblInputSheet[[#This Row],[Hosted Platform]] = "-", "", VLOOKUP(tblInputSheet[[#This Row],[Hosted Platform]], tblHosted_PlatformOwner[], 1,FALSE)), "")</f>
        <v>PCF</v>
      </c>
      <c r="I26" s="6" t="str">
        <f>IFERROR(IF(tblInputSheet[[#This Row],[Provider]] = "-", "", VLOOKUP(tblInputSheet[[#This Row],[Provider]], tblParticipants[], 2,FALSE)), "")</f>
        <v>PP001</v>
      </c>
      <c r="J26" s="6" t="str">
        <f>IFERROR(IF(tblInputSheet[[#This Row],[Provider]] = "-", "", VLOOKUP(tblInputSheet[[#This Row],[Provider]], tblParticipants[], 1,FALSE)), "")</f>
        <v>Key-Claims Adjudication</v>
      </c>
      <c r="K26" s="6" t="str">
        <f>IFERROR(IF(tblInputSheet[[#This Row],[Consumer]] = "-", "", VLOOKUP(tblInputSheet[[#This Row],[Consumer]], tblParticipants[], 2,FALSE)), "")</f>
        <v>PP001</v>
      </c>
      <c r="L26" s="6" t="str">
        <f>IFERROR(IF(tblInputSheet[[#This Row],[Consumer]] = "-", "", VLOOKUP(tblInputSheet[[#This Row],[Consumer]], tblParticipants[], 1,FALSE)), "")</f>
        <v>Key-Claims Adjudication</v>
      </c>
      <c r="M26" s="6" t="str">
        <f>IFERROR(IF(tblInputSheet[[#This Row],[Integration Pattern]] = "-", "", VLOOKUP(tblInputSheet[[#This Row],[Integration Pattern]], tblIntegrationPartten[], 2,FALSE)), "")</f>
        <v>IP001</v>
      </c>
      <c r="N26" s="6" t="str">
        <f>IFERROR(IF(tblInputSheet[[#This Row],[Integration Pattern]] = "-", "", VLOOKUP(tblInputSheet[[#This Row],[Integration Pattern]], tblIntegrationPartten[], 1,FALSE)), "")</f>
        <v>PCF Internal (C-to-C)</v>
      </c>
      <c r="O26" s="6" t="str">
        <f>tblDisplaySheet[[#This Row],[Current State]]</f>
        <v>Y</v>
      </c>
      <c r="P26" s="6" t="str">
        <f>tblDisplaySheet[[#This Row],[Confidence Factor]]</f>
        <v>Medium</v>
      </c>
      <c r="Q26" s="6">
        <f>tblDisplaySheet[[#This Row],[Count of Invocations]]</f>
        <v>1</v>
      </c>
      <c r="R26" s="6">
        <f>tblDisplaySheet[[#This Row],[DB Calls (ms)]]</f>
        <v>1</v>
      </c>
      <c r="S26" s="6">
        <f>tblDisplaySheet[[#This Row],[Logic (ms)]]</f>
        <v>1</v>
      </c>
      <c r="T26" s="6">
        <f>tblDisplaySheet[[#This Row],[Rules (ms)]]</f>
        <v>1</v>
      </c>
      <c r="U26" s="6">
        <f>tblDisplaySheet[[#This Row],[Latency (ms)]]</f>
        <v>5</v>
      </c>
      <c r="V26" s="6">
        <f>tblDisplaySheet[[#This Row],[Total Process Path Length]]</f>
        <v>3746</v>
      </c>
      <c r="W26" s="6">
        <f>tblDisplaySheet[[#This Row],[Total Process Time]]</f>
        <v>8</v>
      </c>
      <c r="X26" s="6">
        <f>tblDisplaySheet[[#This Row],[Total Process Path Length]]</f>
        <v>3746</v>
      </c>
      <c r="Y26" s="6">
        <f>tblDisplaySheet[[#This Row],[Process NFR]]</f>
        <v>10</v>
      </c>
      <c r="Z26" s="6">
        <f>tblDisplaySheet[[#This Row],[Total Process NFR]]</f>
        <v>10</v>
      </c>
      <c r="AA26" s="6">
        <f>tblDisplaySheet[[#This Row],[Total Process Path Length NFR]]</f>
        <v>4083</v>
      </c>
      <c r="AB26" s="6" t="str">
        <f>tblDisplaySheet[[#This Row],[Status]]</f>
        <v>On Target</v>
      </c>
      <c r="AC26" s="6" t="str">
        <f>tblDisplaySheet[[#This Row],[Status]]</f>
        <v>On Target</v>
      </c>
      <c r="AD26" s="6" t="str">
        <f>tblDisplaySheet[[#This Row],[Is Leaf?]]</f>
        <v>N</v>
      </c>
      <c r="AE26" s="6" t="str">
        <f>tblDisplaySheet[[#This Row],[Owner]]</f>
        <v>Alak</v>
      </c>
    </row>
    <row r="27" spans="1:31" x14ac:dyDescent="0.25">
      <c r="A27" s="6">
        <f>tblDisplaySheet[[#This Row],[Link]]</f>
        <v>24</v>
      </c>
      <c r="B27" s="6">
        <f>tblDisplaySheet[[#This Row],[Level]]</f>
        <v>7</v>
      </c>
      <c r="C27" s="6">
        <f>tblDisplaySheet[[#This Row],[Sl.No]]</f>
        <v>25</v>
      </c>
      <c r="D27" s="6" t="str">
        <f>tblDisplaySheet[[#This Row],[Group]]</f>
        <v>Service Level - BD</v>
      </c>
      <c r="E27" s="6" t="str">
        <f>TEXT(tblInputSheet[[#This Row],[Sl.No]], "000")&amp; ":"&amp; tblInputSheet[[#This Row],[Process]]</f>
        <v xml:space="preserve">025:BD </v>
      </c>
      <c r="F27" s="6" t="str">
        <f>IFERROR(IF(tblInputSheet[[#This Row],[Process]] = "", "", REPT("*",Demo!$A27)&amp;""&amp;tblInputSheet[[#This Row],[Process]]), "")</f>
        <v xml:space="preserve">*******BD </v>
      </c>
      <c r="G27" s="6" t="str">
        <f>IFERROR(IF(tblInputSheet[[#This Row],[Hosted Platform]] = "-", "", VLOOKUP(tblInputSheet[[#This Row],[Hosted Platform]], tblHosted_PlatformOwner[], 2,FALSE)), "")</f>
        <v>CC000</v>
      </c>
      <c r="H27" s="6" t="str">
        <f>IFERROR(IF(tblInputSheet[[#This Row],[Hosted Platform]] = "-", "", VLOOKUP(tblInputSheet[[#This Row],[Hosted Platform]], tblHosted_PlatformOwner[], 1,FALSE)), "")</f>
        <v>Business Process</v>
      </c>
      <c r="I27" s="6" t="str">
        <f>IFERROR(IF(tblInputSheet[[#This Row],[Provider]] = "-", "", VLOOKUP(tblInputSheet[[#This Row],[Provider]], tblParticipants[], 2,FALSE)), "")</f>
        <v>PP000</v>
      </c>
      <c r="J27" s="6" t="str">
        <f>IFERROR(IF(tblInputSheet[[#This Row],[Provider]] = "-", "", VLOOKUP(tblInputSheet[[#This Row],[Provider]], tblParticipants[], 1,FALSE)), "")</f>
        <v>NA</v>
      </c>
      <c r="K27" s="6" t="str">
        <f>IFERROR(IF(tblInputSheet[[#This Row],[Consumer]] = "-", "", VLOOKUP(tblInputSheet[[#This Row],[Consumer]], tblParticipants[], 2,FALSE)), "")</f>
        <v>PP000</v>
      </c>
      <c r="L27" s="6" t="str">
        <f>IFERROR(IF(tblInputSheet[[#This Row],[Consumer]] = "-", "", VLOOKUP(tblInputSheet[[#This Row],[Consumer]], tblParticipants[], 1,FALSE)), "")</f>
        <v>NA</v>
      </c>
      <c r="M27" s="6" t="str">
        <f>IFERROR(IF(tblInputSheet[[#This Row],[Integration Pattern]] = "-", "", VLOOKUP(tblInputSheet[[#This Row],[Integration Pattern]], tblIntegrationPartten[], 2,FALSE)), "")</f>
        <v>IP000</v>
      </c>
      <c r="N27" s="6" t="str">
        <f>IFERROR(IF(tblInputSheet[[#This Row],[Integration Pattern]] = "-", "", VLOOKUP(tblInputSheet[[#This Row],[Integration Pattern]], tblIntegrationPartten[], 1,FALSE)), "")</f>
        <v>Group</v>
      </c>
      <c r="O27" s="6" t="str">
        <f>tblDisplaySheet[[#This Row],[Current State]]</f>
        <v>Y</v>
      </c>
      <c r="P27" s="6" t="str">
        <f>tblDisplaySheet[[#This Row],[Confidence Factor]]</f>
        <v>Group</v>
      </c>
      <c r="Q27" s="6">
        <f>tblDisplaySheet[[#This Row],[Count of Invocations]]</f>
        <v>1</v>
      </c>
      <c r="R27" s="6">
        <f>tblDisplaySheet[[#This Row],[DB Calls (ms)]]</f>
        <v>0</v>
      </c>
      <c r="S27" s="6">
        <f>tblDisplaySheet[[#This Row],[Logic (ms)]]</f>
        <v>0</v>
      </c>
      <c r="T27" s="6">
        <f>tblDisplaySheet[[#This Row],[Rules (ms)]]</f>
        <v>0</v>
      </c>
      <c r="U27" s="6">
        <f>tblDisplaySheet[[#This Row],[Latency (ms)]]</f>
        <v>0</v>
      </c>
      <c r="V27" s="6">
        <f>tblDisplaySheet[[#This Row],[Total Process Path Length]]</f>
        <v>740</v>
      </c>
      <c r="W27" s="6">
        <f>tblDisplaySheet[[#This Row],[Total Process Time]]</f>
        <v>0</v>
      </c>
      <c r="X27" s="6">
        <f>tblDisplaySheet[[#This Row],[Total Process Path Length]]</f>
        <v>740</v>
      </c>
      <c r="Y27" s="6">
        <f>tblDisplaySheet[[#This Row],[Process NFR]]</f>
        <v>0</v>
      </c>
      <c r="Z27" s="6">
        <f>tblDisplaySheet[[#This Row],[Total Process NFR]]</f>
        <v>0</v>
      </c>
      <c r="AA27" s="6">
        <f>tblDisplaySheet[[#This Row],[Total Process Path Length NFR]]</f>
        <v>835</v>
      </c>
      <c r="AB27" s="6" t="str">
        <f>tblDisplaySheet[[#This Row],[Status]]</f>
        <v>On Target</v>
      </c>
      <c r="AC27" s="6" t="str">
        <f>tblDisplaySheet[[#This Row],[Status]]</f>
        <v>On Target</v>
      </c>
      <c r="AD27" s="6" t="str">
        <f>tblDisplaySheet[[#This Row],[Is Leaf?]]</f>
        <v>G</v>
      </c>
      <c r="AE27" s="6" t="str">
        <f>tblDisplaySheet[[#This Row],[Owner]]</f>
        <v>Sankar</v>
      </c>
    </row>
    <row r="28" spans="1:31" x14ac:dyDescent="0.25">
      <c r="A28" s="6">
        <f>tblDisplaySheet[[#This Row],[Link]]</f>
        <v>25</v>
      </c>
      <c r="B28" s="6">
        <f>tblDisplaySheet[[#This Row],[Level]]</f>
        <v>8</v>
      </c>
      <c r="C28" s="6">
        <f>tblDisplaySheet[[#This Row],[Sl.No]]</f>
        <v>26</v>
      </c>
      <c r="D28" s="6" t="str">
        <f>tblDisplaySheet[[#This Row],[Group]]</f>
        <v>Service Level - BD</v>
      </c>
      <c r="E28" s="6" t="str">
        <f>TEXT(tblInputSheet[[#This Row],[Sl.No]], "000")&amp; ":"&amp; tblInputSheet[[#This Row],[Process]]</f>
        <v>026:Benefit Determination Service</v>
      </c>
      <c r="F28" s="6" t="str">
        <f>IFERROR(IF(tblInputSheet[[#This Row],[Process]] = "", "", REPT("*",Demo!$A28)&amp;""&amp;tblInputSheet[[#This Row],[Process]]), "")</f>
        <v>********Benefit Determination Service</v>
      </c>
      <c r="G28" s="6" t="str">
        <f>IFERROR(IF(tblInputSheet[[#This Row],[Hosted Platform]] = "-", "", VLOOKUP(tblInputSheet[[#This Row],[Hosted Platform]], tblHosted_PlatformOwner[], 2,FALSE)), "")</f>
        <v>CC001</v>
      </c>
      <c r="H28" s="6" t="str">
        <f>IFERROR(IF(tblInputSheet[[#This Row],[Hosted Platform]] = "-", "", VLOOKUP(tblInputSheet[[#This Row],[Hosted Platform]], tblHosted_PlatformOwner[], 1,FALSE)), "")</f>
        <v>PCF</v>
      </c>
      <c r="I28" s="6" t="str">
        <f>IFERROR(IF(tblInputSheet[[#This Row],[Provider]] = "-", "", VLOOKUP(tblInputSheet[[#This Row],[Provider]], tblParticipants[], 2,FALSE)), "")</f>
        <v>PP001</v>
      </c>
      <c r="J28" s="6" t="str">
        <f>IFERROR(IF(tblInputSheet[[#This Row],[Provider]] = "-", "", VLOOKUP(tblInputSheet[[#This Row],[Provider]], tblParticipants[], 1,FALSE)), "")</f>
        <v>Key-Claims Adjudication</v>
      </c>
      <c r="K28" s="6" t="str">
        <f>IFERROR(IF(tblInputSheet[[#This Row],[Consumer]] = "-", "", VLOOKUP(tblInputSheet[[#This Row],[Consumer]], tblParticipants[], 2,FALSE)), "")</f>
        <v>PP001</v>
      </c>
      <c r="L28" s="6" t="str">
        <f>IFERROR(IF(tblInputSheet[[#This Row],[Consumer]] = "-", "", VLOOKUP(tblInputSheet[[#This Row],[Consumer]], tblParticipants[], 1,FALSE)), "")</f>
        <v>Key-Claims Adjudication</v>
      </c>
      <c r="M28" s="6" t="str">
        <f>IFERROR(IF(tblInputSheet[[#This Row],[Integration Pattern]] = "-", "", VLOOKUP(tblInputSheet[[#This Row],[Integration Pattern]], tblIntegrationPartten[], 2,FALSE)), "")</f>
        <v>IP001</v>
      </c>
      <c r="N28" s="6" t="str">
        <f>IFERROR(IF(tblInputSheet[[#This Row],[Integration Pattern]] = "-", "", VLOOKUP(tblInputSheet[[#This Row],[Integration Pattern]], tblIntegrationPartten[], 1,FALSE)), "")</f>
        <v>PCF Internal (C-to-C)</v>
      </c>
      <c r="O28" s="6" t="str">
        <f>tblDisplaySheet[[#This Row],[Current State]]</f>
        <v>Y</v>
      </c>
      <c r="P28" s="6" t="str">
        <f>tblDisplaySheet[[#This Row],[Confidence Factor]]</f>
        <v>Medium</v>
      </c>
      <c r="Q28" s="6">
        <f>tblDisplaySheet[[#This Row],[Count of Invocations]]</f>
        <v>1</v>
      </c>
      <c r="R28" s="6">
        <f>tblDisplaySheet[[#This Row],[DB Calls (ms)]]</f>
        <v>1</v>
      </c>
      <c r="S28" s="6">
        <f>tblDisplaySheet[[#This Row],[Logic (ms)]]</f>
        <v>20</v>
      </c>
      <c r="T28" s="6">
        <f>tblDisplaySheet[[#This Row],[Rules (ms)]]</f>
        <v>0</v>
      </c>
      <c r="U28" s="6">
        <f>tblDisplaySheet[[#This Row],[Latency (ms)]]</f>
        <v>5</v>
      </c>
      <c r="V28" s="6">
        <f>tblDisplaySheet[[#This Row],[Total Process Path Length]]</f>
        <v>740</v>
      </c>
      <c r="W28" s="6">
        <f>tblDisplaySheet[[#This Row],[Total Process Time]]</f>
        <v>26</v>
      </c>
      <c r="X28" s="6">
        <f>tblDisplaySheet[[#This Row],[Total Process Path Length]]</f>
        <v>740</v>
      </c>
      <c r="Y28" s="6">
        <f>tblDisplaySheet[[#This Row],[Process NFR]]</f>
        <v>30</v>
      </c>
      <c r="Z28" s="6">
        <f>tblDisplaySheet[[#This Row],[Total Process NFR]]</f>
        <v>30</v>
      </c>
      <c r="AA28" s="6">
        <f>tblDisplaySheet[[#This Row],[Total Process Path Length NFR]]</f>
        <v>835</v>
      </c>
      <c r="AB28" s="6" t="str">
        <f>tblDisplaySheet[[#This Row],[Status]]</f>
        <v>On Target</v>
      </c>
      <c r="AC28" s="6" t="str">
        <f>tblDisplaySheet[[#This Row],[Status]]</f>
        <v>On Target</v>
      </c>
      <c r="AD28" s="6" t="str">
        <f>tblDisplaySheet[[#This Row],[Is Leaf?]]</f>
        <v>N</v>
      </c>
      <c r="AE28" s="6" t="str">
        <f>tblDisplaySheet[[#This Row],[Owner]]</f>
        <v>Sankar</v>
      </c>
    </row>
    <row r="29" spans="1:31" x14ac:dyDescent="0.25">
      <c r="A29" s="6">
        <f>tblDisplaySheet[[#This Row],[Link]]</f>
        <v>26</v>
      </c>
      <c r="B29" s="6">
        <f>tblDisplaySheet[[#This Row],[Level]]</f>
        <v>9</v>
      </c>
      <c r="C29" s="6">
        <f>tblDisplaySheet[[#This Row],[Sl.No]]</f>
        <v>27</v>
      </c>
      <c r="D29" s="6" t="str">
        <f>tblDisplaySheet[[#This Row],[Group]]</f>
        <v>Service Level - BD</v>
      </c>
      <c r="E29" s="6" t="str">
        <f>TEXT(tblInputSheet[[#This Row],[Sl.No]], "000")&amp; ":"&amp; tblInputSheet[[#This Row],[Process]]</f>
        <v>027:Contract API</v>
      </c>
      <c r="F29" s="6" t="str">
        <f>IFERROR(IF(tblInputSheet[[#This Row],[Process]] = "", "", REPT("*",Demo!$A29)&amp;""&amp;tblInputSheet[[#This Row],[Process]]), "")</f>
        <v>*********Contract API</v>
      </c>
      <c r="G29" s="6" t="str">
        <f>IFERROR(IF(tblInputSheet[[#This Row],[Hosted Platform]] = "-", "", VLOOKUP(tblInputSheet[[#This Row],[Hosted Platform]], tblHosted_PlatformOwner[], 2,FALSE)), "")</f>
        <v>CC001</v>
      </c>
      <c r="H29" s="6" t="str">
        <f>IFERROR(IF(tblInputSheet[[#This Row],[Hosted Platform]] = "-", "", VLOOKUP(tblInputSheet[[#This Row],[Hosted Platform]], tblHosted_PlatformOwner[], 1,FALSE)), "")</f>
        <v>PCF</v>
      </c>
      <c r="I29" s="6" t="str">
        <f>IFERROR(IF(tblInputSheet[[#This Row],[Provider]] = "-", "", VLOOKUP(tblInputSheet[[#This Row],[Provider]], tblParticipants[], 2,FALSE)), "")</f>
        <v>PP001</v>
      </c>
      <c r="J29" s="6" t="str">
        <f>IFERROR(IF(tblInputSheet[[#This Row],[Provider]] = "-", "", VLOOKUP(tblInputSheet[[#This Row],[Provider]], tblParticipants[], 1,FALSE)), "")</f>
        <v>Key-Claims Adjudication</v>
      </c>
      <c r="K29" s="6" t="str">
        <f>IFERROR(IF(tblInputSheet[[#This Row],[Consumer]] = "-", "", VLOOKUP(tblInputSheet[[#This Row],[Consumer]], tblParticipants[], 2,FALSE)), "")</f>
        <v>PP001</v>
      </c>
      <c r="L29" s="6" t="str">
        <f>IFERROR(IF(tblInputSheet[[#This Row],[Consumer]] = "-", "", VLOOKUP(tblInputSheet[[#This Row],[Consumer]], tblParticipants[], 1,FALSE)), "")</f>
        <v>Key-Claims Adjudication</v>
      </c>
      <c r="M29" s="6" t="str">
        <f>IFERROR(IF(tblInputSheet[[#This Row],[Integration Pattern]] = "-", "", VLOOKUP(tblInputSheet[[#This Row],[Integration Pattern]], tblIntegrationPartten[], 2,FALSE)), "")</f>
        <v>IP001</v>
      </c>
      <c r="N29" s="6" t="str">
        <f>IFERROR(IF(tblInputSheet[[#This Row],[Integration Pattern]] = "-", "", VLOOKUP(tblInputSheet[[#This Row],[Integration Pattern]], tblIntegrationPartten[], 1,FALSE)), "")</f>
        <v>PCF Internal (C-to-C)</v>
      </c>
      <c r="O29" s="6" t="str">
        <f>tblDisplaySheet[[#This Row],[Current State]]</f>
        <v>Y</v>
      </c>
      <c r="P29" s="6" t="str">
        <f>tblDisplaySheet[[#This Row],[Confidence Factor]]</f>
        <v>Medium</v>
      </c>
      <c r="Q29" s="6">
        <f>tblDisplaySheet[[#This Row],[Count of Invocations]]</f>
        <v>1</v>
      </c>
      <c r="R29" s="6">
        <f>tblDisplaySheet[[#This Row],[DB Calls (ms)]]</f>
        <v>5</v>
      </c>
      <c r="S29" s="6">
        <f>tblDisplaySheet[[#This Row],[Logic (ms)]]</f>
        <v>30</v>
      </c>
      <c r="T29" s="6">
        <f>tblDisplaySheet[[#This Row],[Rules (ms)]]</f>
        <v>0</v>
      </c>
      <c r="U29" s="6">
        <f>tblDisplaySheet[[#This Row],[Latency (ms)]]</f>
        <v>10</v>
      </c>
      <c r="V29" s="6">
        <f>tblDisplaySheet[[#This Row],[Total Process Path Length]]</f>
        <v>45</v>
      </c>
      <c r="W29" s="6">
        <f>tblDisplaySheet[[#This Row],[Total Process Time]]</f>
        <v>45</v>
      </c>
      <c r="X29" s="6">
        <f>tblDisplaySheet[[#This Row],[Total Process Path Length]]</f>
        <v>45</v>
      </c>
      <c r="Y29" s="6">
        <f>tblDisplaySheet[[#This Row],[Process NFR]]</f>
        <v>50</v>
      </c>
      <c r="Z29" s="6">
        <f>tblDisplaySheet[[#This Row],[Total Process NFR]]</f>
        <v>50</v>
      </c>
      <c r="AA29" s="6">
        <f>tblDisplaySheet[[#This Row],[Total Process Path Length NFR]]</f>
        <v>50</v>
      </c>
      <c r="AB29" s="6" t="str">
        <f>tblDisplaySheet[[#This Row],[Status]]</f>
        <v>On Target</v>
      </c>
      <c r="AC29" s="6" t="str">
        <f>tblDisplaySheet[[#This Row],[Status]]</f>
        <v>On Target</v>
      </c>
      <c r="AD29" s="6" t="str">
        <f>tblDisplaySheet[[#This Row],[Is Leaf?]]</f>
        <v>Y</v>
      </c>
      <c r="AE29" s="6" t="str">
        <f>tblDisplaySheet[[#This Row],[Owner]]</f>
        <v>Greg</v>
      </c>
    </row>
    <row r="30" spans="1:31" x14ac:dyDescent="0.25">
      <c r="A30" s="6">
        <f>tblDisplaySheet[[#This Row],[Link]]</f>
        <v>26</v>
      </c>
      <c r="B30" s="6">
        <f>tblDisplaySheet[[#This Row],[Level]]</f>
        <v>9</v>
      </c>
      <c r="C30" s="6">
        <f>tblDisplaySheet[[#This Row],[Sl.No]]</f>
        <v>28</v>
      </c>
      <c r="D30" s="6" t="str">
        <f>tblDisplaySheet[[#This Row],[Group]]</f>
        <v>Service Level - BD</v>
      </c>
      <c r="E30" s="6" t="str">
        <f>TEXT(tblInputSheet[[#This Row],[Sl.No]], "000")&amp; ":"&amp; tblInputSheet[[#This Row],[Process]]</f>
        <v>028:Medical Policy Check Service</v>
      </c>
      <c r="F30" s="6" t="str">
        <f>IFERROR(IF(tblInputSheet[[#This Row],[Process]] = "", "", REPT("*",Demo!$A30)&amp;""&amp;tblInputSheet[[#This Row],[Process]]), "")</f>
        <v>*********Medical Policy Check Service</v>
      </c>
      <c r="G30" s="6" t="str">
        <f>IFERROR(IF(tblInputSheet[[#This Row],[Hosted Platform]] = "-", "", VLOOKUP(tblInputSheet[[#This Row],[Hosted Platform]], tblHosted_PlatformOwner[], 2,FALSE)), "")</f>
        <v>CC001</v>
      </c>
      <c r="H30" s="6" t="str">
        <f>IFERROR(IF(tblInputSheet[[#This Row],[Hosted Platform]] = "-", "", VLOOKUP(tblInputSheet[[#This Row],[Hosted Platform]], tblHosted_PlatformOwner[], 1,FALSE)), "")</f>
        <v>PCF</v>
      </c>
      <c r="I30" s="6" t="str">
        <f>IFERROR(IF(tblInputSheet[[#This Row],[Provider]] = "-", "", VLOOKUP(tblInputSheet[[#This Row],[Provider]], tblParticipants[], 2,FALSE)), "")</f>
        <v>PP001</v>
      </c>
      <c r="J30" s="6" t="str">
        <f>IFERROR(IF(tblInputSheet[[#This Row],[Provider]] = "-", "", VLOOKUP(tblInputSheet[[#This Row],[Provider]], tblParticipants[], 1,FALSE)), "")</f>
        <v>Key-Claims Adjudication</v>
      </c>
      <c r="K30" s="6" t="str">
        <f>IFERROR(IF(tblInputSheet[[#This Row],[Consumer]] = "-", "", VLOOKUP(tblInputSheet[[#This Row],[Consumer]], tblParticipants[], 2,FALSE)), "")</f>
        <v>PP001</v>
      </c>
      <c r="L30" s="6" t="str">
        <f>IFERROR(IF(tblInputSheet[[#This Row],[Consumer]] = "-", "", VLOOKUP(tblInputSheet[[#This Row],[Consumer]], tblParticipants[], 1,FALSE)), "")</f>
        <v>Key-Claims Adjudication</v>
      </c>
      <c r="M30" s="6" t="str">
        <f>IFERROR(IF(tblInputSheet[[#This Row],[Integration Pattern]] = "-", "", VLOOKUP(tblInputSheet[[#This Row],[Integration Pattern]], tblIntegrationPartten[], 2,FALSE)), "")</f>
        <v>IP006</v>
      </c>
      <c r="N30" s="6" t="str">
        <f>IFERROR(IF(tblInputSheet[[#This Row],[Integration Pattern]] = "-", "", VLOOKUP(tblInputSheet[[#This Row],[Integration Pattern]], tblIntegrationPartten[], 1,FALSE)), "")</f>
        <v>REST Service - ESB</v>
      </c>
      <c r="O30" s="6" t="str">
        <f>tblDisplaySheet[[#This Row],[Current State]]</f>
        <v>Y</v>
      </c>
      <c r="P30" s="6" t="str">
        <f>tblDisplaySheet[[#This Row],[Confidence Factor]]</f>
        <v>Medium</v>
      </c>
      <c r="Q30" s="6">
        <f>tblDisplaySheet[[#This Row],[Count of Invocations]]</f>
        <v>1</v>
      </c>
      <c r="R30" s="6">
        <f>tblDisplaySheet[[#This Row],[DB Calls (ms)]]</f>
        <v>0</v>
      </c>
      <c r="S30" s="6">
        <f>tblDisplaySheet[[#This Row],[Logic (ms)]]</f>
        <v>2</v>
      </c>
      <c r="T30" s="6">
        <f>tblDisplaySheet[[#This Row],[Rules (ms)]]</f>
        <v>0</v>
      </c>
      <c r="U30" s="6">
        <f>tblDisplaySheet[[#This Row],[Latency (ms)]]</f>
        <v>10</v>
      </c>
      <c r="V30" s="6">
        <f>tblDisplaySheet[[#This Row],[Total Process Path Length]]</f>
        <v>107</v>
      </c>
      <c r="W30" s="6">
        <f>tblDisplaySheet[[#This Row],[Total Process Time]]</f>
        <v>12</v>
      </c>
      <c r="X30" s="6">
        <f>tblDisplaySheet[[#This Row],[Total Process Path Length]]</f>
        <v>107</v>
      </c>
      <c r="Y30" s="6">
        <f>tblDisplaySheet[[#This Row],[Process NFR]]</f>
        <v>15</v>
      </c>
      <c r="Z30" s="6">
        <f>tblDisplaySheet[[#This Row],[Total Process NFR]]</f>
        <v>15</v>
      </c>
      <c r="AA30" s="6">
        <f>tblDisplaySheet[[#This Row],[Total Process Path Length NFR]]</f>
        <v>120</v>
      </c>
      <c r="AB30" s="6" t="str">
        <f>tblDisplaySheet[[#This Row],[Status]]</f>
        <v>On Target</v>
      </c>
      <c r="AC30" s="6" t="str">
        <f>tblDisplaySheet[[#This Row],[Status]]</f>
        <v>On Target</v>
      </c>
      <c r="AD30" s="6" t="str">
        <f>tblDisplaySheet[[#This Row],[Is Leaf?]]</f>
        <v>N</v>
      </c>
      <c r="AE30" s="6" t="str">
        <f>tblDisplaySheet[[#This Row],[Owner]]</f>
        <v>Sankar</v>
      </c>
    </row>
    <row r="31" spans="1:31" x14ac:dyDescent="0.25">
      <c r="A31" s="6">
        <f>tblDisplaySheet[[#This Row],[Link]]</f>
        <v>28</v>
      </c>
      <c r="B31" s="6">
        <f>tblDisplaySheet[[#This Row],[Level]]</f>
        <v>10</v>
      </c>
      <c r="C31" s="6">
        <f>tblDisplaySheet[[#This Row],[Sl.No]]</f>
        <v>29</v>
      </c>
      <c r="D31" s="6" t="str">
        <f>tblDisplaySheet[[#This Row],[Group]]</f>
        <v>Service Level - BD</v>
      </c>
      <c r="E31" s="6" t="str">
        <f>TEXT(tblInputSheet[[#This Row],[Sl.No]], "000")&amp; ":"&amp; tblInputSheet[[#This Row],[Process]]</f>
        <v>029:Medical Policy Mule Adapter</v>
      </c>
      <c r="F31" s="6" t="str">
        <f>IFERROR(IF(tblInputSheet[[#This Row],[Process]] = "", "", REPT("*",Demo!$A31)&amp;""&amp;tblInputSheet[[#This Row],[Process]]), "")</f>
        <v>**********Medical Policy Mule Adapter</v>
      </c>
      <c r="G31" s="6" t="str">
        <f>IFERROR(IF(tblInputSheet[[#This Row],[Hosted Platform]] = "-", "", VLOOKUP(tblInputSheet[[#This Row],[Hosted Platform]], tblHosted_PlatformOwner[], 2,FALSE)), "")</f>
        <v>CC002</v>
      </c>
      <c r="H31" s="6" t="str">
        <f>IFERROR(IF(tblInputSheet[[#This Row],[Hosted Platform]] = "-", "", VLOOKUP(tblInputSheet[[#This Row],[Hosted Platform]], tblHosted_PlatformOwner[], 1,FALSE)), "")</f>
        <v>Mule ESB</v>
      </c>
      <c r="I31" s="6" t="str">
        <f>IFERROR(IF(tblInputSheet[[#This Row],[Provider]] = "-", "", VLOOKUP(tblInputSheet[[#This Row],[Provider]], tblParticipants[], 2,FALSE)), "")</f>
        <v>PP001</v>
      </c>
      <c r="J31" s="6" t="str">
        <f>IFERROR(IF(tblInputSheet[[#This Row],[Provider]] = "-", "", VLOOKUP(tblInputSheet[[#This Row],[Provider]], tblParticipants[], 1,FALSE)), "")</f>
        <v>Key-Claims Adjudication</v>
      </c>
      <c r="K31" s="6" t="str">
        <f>IFERROR(IF(tblInputSheet[[#This Row],[Consumer]] = "-", "", VLOOKUP(tblInputSheet[[#This Row],[Consumer]], tblParticipants[], 2,FALSE)), "")</f>
        <v>PP001</v>
      </c>
      <c r="L31" s="6" t="str">
        <f>IFERROR(IF(tblInputSheet[[#This Row],[Consumer]] = "-", "", VLOOKUP(tblInputSheet[[#This Row],[Consumer]], tblParticipants[], 1,FALSE)), "")</f>
        <v>Key-Claims Adjudication</v>
      </c>
      <c r="M31" s="6" t="str">
        <f>IFERROR(IF(tblInputSheet[[#This Row],[Integration Pattern]] = "-", "", VLOOKUP(tblInputSheet[[#This Row],[Integration Pattern]], tblIntegrationPartten[], 2,FALSE)), "")</f>
        <v>IP003</v>
      </c>
      <c r="N31" s="6" t="str">
        <f>IFERROR(IF(tblInputSheet[[#This Row],[Integration Pattern]] = "-", "", VLOOKUP(tblInputSheet[[#This Row],[Integration Pattern]], tblIntegrationPartten[], 1,FALSE)), "")</f>
        <v>ESB - MQ Integration</v>
      </c>
      <c r="O31" s="6" t="str">
        <f>tblDisplaySheet[[#This Row],[Current State]]</f>
        <v>Y</v>
      </c>
      <c r="P31" s="6" t="str">
        <f>tblDisplaySheet[[#This Row],[Confidence Factor]]</f>
        <v>Low</v>
      </c>
      <c r="Q31" s="6">
        <f>tblDisplaySheet[[#This Row],[Count of Invocations]]</f>
        <v>1</v>
      </c>
      <c r="R31" s="6">
        <f>tblDisplaySheet[[#This Row],[DB Calls (ms)]]</f>
        <v>0</v>
      </c>
      <c r="S31" s="6">
        <f>tblDisplaySheet[[#This Row],[Logic (ms)]]</f>
        <v>45</v>
      </c>
      <c r="T31" s="6">
        <f>tblDisplaySheet[[#This Row],[Rules (ms)]]</f>
        <v>0</v>
      </c>
      <c r="U31" s="6">
        <f>tblDisplaySheet[[#This Row],[Latency (ms)]]</f>
        <v>30</v>
      </c>
      <c r="V31" s="6">
        <f>tblDisplaySheet[[#This Row],[Total Process Path Length]]</f>
        <v>95</v>
      </c>
      <c r="W31" s="6">
        <f>tblDisplaySheet[[#This Row],[Total Process Time]]</f>
        <v>75</v>
      </c>
      <c r="X31" s="6">
        <f>tblDisplaySheet[[#This Row],[Total Process Path Length]]</f>
        <v>95</v>
      </c>
      <c r="Y31" s="6">
        <f>tblDisplaySheet[[#This Row],[Process NFR]]</f>
        <v>75</v>
      </c>
      <c r="Z31" s="6">
        <f>tblDisplaySheet[[#This Row],[Total Process NFR]]</f>
        <v>75</v>
      </c>
      <c r="AA31" s="6">
        <f>tblDisplaySheet[[#This Row],[Total Process Path Length NFR]]</f>
        <v>105</v>
      </c>
      <c r="AB31" s="6" t="str">
        <f>tblDisplaySheet[[#This Row],[Status]]</f>
        <v>On Target</v>
      </c>
      <c r="AC31" s="6" t="str">
        <f>tblDisplaySheet[[#This Row],[Status]]</f>
        <v>On Target</v>
      </c>
      <c r="AD31" s="6" t="str">
        <f>tblDisplaySheet[[#This Row],[Is Leaf?]]</f>
        <v>N</v>
      </c>
      <c r="AE31" s="6" t="str">
        <f>tblDisplaySheet[[#This Row],[Owner]]</f>
        <v>Sankar</v>
      </c>
    </row>
    <row r="32" spans="1:31" x14ac:dyDescent="0.25">
      <c r="A32" s="6">
        <f>tblDisplaySheet[[#This Row],[Link]]</f>
        <v>29</v>
      </c>
      <c r="B32" s="6">
        <f>tblDisplaySheet[[#This Row],[Level]]</f>
        <v>11</v>
      </c>
      <c r="C32" s="6">
        <f>tblDisplaySheet[[#This Row],[Sl.No]]</f>
        <v>30</v>
      </c>
      <c r="D32" s="6" t="str">
        <f>tblDisplaySheet[[#This Row],[Group]]</f>
        <v>Service Level - BD</v>
      </c>
      <c r="E32" s="6" t="str">
        <f>TEXT(tblInputSheet[[#This Row],[Sl.No]], "000")&amp; ":"&amp; tblInputSheet[[#This Row],[Process]]</f>
        <v>030:Legacy Medical Policy Check</v>
      </c>
      <c r="F32" s="6" t="str">
        <f>IFERROR(IF(tblInputSheet[[#This Row],[Process]] = "", "", REPT("*",Demo!$A32)&amp;""&amp;tblInputSheet[[#This Row],[Process]]), "")</f>
        <v>***********Legacy Medical Policy Check</v>
      </c>
      <c r="G32" s="6" t="str">
        <f>IFERROR(IF(tblInputSheet[[#This Row],[Hosted Platform]] = "-", "", VLOOKUP(tblInputSheet[[#This Row],[Hosted Platform]], tblHosted_PlatformOwner[], 2,FALSE)), "")</f>
        <v>CC007</v>
      </c>
      <c r="H32" s="6" t="str">
        <f>IFERROR(IF(tblInputSheet[[#This Row],[Hosted Platform]] = "-", "", VLOOKUP(tblInputSheet[[#This Row],[Hosted Platform]], tblHosted_PlatformOwner[], 1,FALSE)), "")</f>
        <v>Cross-Portfolio</v>
      </c>
      <c r="I32" s="6" t="str">
        <f>IFERROR(IF(tblInputSheet[[#This Row],[Provider]] = "-", "", VLOOKUP(tblInputSheet[[#This Row],[Provider]], tblParticipants[], 2,FALSE)), "")</f>
        <v>PP010</v>
      </c>
      <c r="J32" s="6" t="str">
        <f>IFERROR(IF(tblInputSheet[[#This Row],[Provider]] = "-", "", VLOOKUP(tblInputSheet[[#This Row],[Provider]], tblParticipants[], 1,FALSE)), "")</f>
        <v>Provider</v>
      </c>
      <c r="K32" s="6" t="str">
        <f>IFERROR(IF(tblInputSheet[[#This Row],[Consumer]] = "-", "", VLOOKUP(tblInputSheet[[#This Row],[Consumer]], tblParticipants[], 2,FALSE)), "")</f>
        <v>PP004</v>
      </c>
      <c r="L32" s="6" t="str">
        <f>IFERROR(IF(tblInputSheet[[#This Row],[Consumer]] = "-", "", VLOOKUP(tblInputSheet[[#This Row],[Consumer]], tblParticipants[], 1,FALSE)), "")</f>
        <v>Claims-Legacy</v>
      </c>
      <c r="M32" s="6" t="str">
        <f>IFERROR(IF(tblInputSheet[[#This Row],[Integration Pattern]] = "-", "", VLOOKUP(tblInputSheet[[#This Row],[Integration Pattern]], tblIntegrationPartten[], 2,FALSE)), "")</f>
        <v>IP010</v>
      </c>
      <c r="N32" s="6" t="str">
        <f>IFERROR(IF(tblInputSheet[[#This Row],[Integration Pattern]] = "-", "", VLOOKUP(tblInputSheet[[#This Row],[Integration Pattern]], tblIntegrationPartten[], 1,FALSE)), "")</f>
        <v>BC Internal</v>
      </c>
      <c r="O32" s="6" t="str">
        <f>tblDisplaySheet[[#This Row],[Current State]]</f>
        <v>Y</v>
      </c>
      <c r="P32" s="6" t="str">
        <f>tblDisplaySheet[[#This Row],[Confidence Factor]]</f>
        <v>Low</v>
      </c>
      <c r="Q32" s="6">
        <f>tblDisplaySheet[[#This Row],[Count of Invocations]]</f>
        <v>1</v>
      </c>
      <c r="R32" s="6">
        <f>tblDisplaySheet[[#This Row],[DB Calls (ms)]]</f>
        <v>0</v>
      </c>
      <c r="S32" s="6">
        <f>tblDisplaySheet[[#This Row],[Logic (ms)]]</f>
        <v>20</v>
      </c>
      <c r="T32" s="6">
        <f>tblDisplaySheet[[#This Row],[Rules (ms)]]</f>
        <v>0</v>
      </c>
      <c r="U32" s="6">
        <f>tblDisplaySheet[[#This Row],[Latency (ms)]]</f>
        <v>0</v>
      </c>
      <c r="V32" s="6">
        <f>tblDisplaySheet[[#This Row],[Total Process Path Length]]</f>
        <v>20</v>
      </c>
      <c r="W32" s="6">
        <f>tblDisplaySheet[[#This Row],[Total Process Time]]</f>
        <v>20</v>
      </c>
      <c r="X32" s="6">
        <f>tblDisplaySheet[[#This Row],[Total Process Path Length]]</f>
        <v>20</v>
      </c>
      <c r="Y32" s="6">
        <f>tblDisplaySheet[[#This Row],[Process NFR]]</f>
        <v>30</v>
      </c>
      <c r="Z32" s="6">
        <f>tblDisplaySheet[[#This Row],[Total Process NFR]]</f>
        <v>30</v>
      </c>
      <c r="AA32" s="6">
        <f>tblDisplaySheet[[#This Row],[Total Process Path Length NFR]]</f>
        <v>30</v>
      </c>
      <c r="AB32" s="6" t="str">
        <f>tblDisplaySheet[[#This Row],[Status]]</f>
        <v>On Target</v>
      </c>
      <c r="AC32" s="6" t="str">
        <f>tblDisplaySheet[[#This Row],[Status]]</f>
        <v>On Target</v>
      </c>
      <c r="AD32" s="6" t="str">
        <f>tblDisplaySheet[[#This Row],[Is Leaf?]]</f>
        <v>Y</v>
      </c>
      <c r="AE32" s="6" t="str">
        <f>tblDisplaySheet[[#This Row],[Owner]]</f>
        <v>Sankar</v>
      </c>
    </row>
    <row r="33" spans="1:31" x14ac:dyDescent="0.25">
      <c r="A33" s="6">
        <f>tblDisplaySheet[[#This Row],[Link]]</f>
        <v>26</v>
      </c>
      <c r="B33" s="6">
        <f>tblDisplaySheet[[#This Row],[Level]]</f>
        <v>9</v>
      </c>
      <c r="C33" s="6">
        <f>tblDisplaySheet[[#This Row],[Sl.No]]</f>
        <v>31</v>
      </c>
      <c r="D33" s="6" t="str">
        <f>tblDisplaySheet[[#This Row],[Group]]</f>
        <v>Service Level - BD</v>
      </c>
      <c r="E33" s="6" t="str">
        <f>TEXT(tblInputSheet[[#This Row],[Sl.No]], "000")&amp; ":"&amp; tblInputSheet[[#This Row],[Process]]</f>
        <v>031:DME Event Validation Service</v>
      </c>
      <c r="F33" s="6" t="str">
        <f>IFERROR(IF(tblInputSheet[[#This Row],[Process]] = "", "", REPT("*",Demo!$A33)&amp;""&amp;tblInputSheet[[#This Row],[Process]]), "")</f>
        <v>*********DME Event Validation Service</v>
      </c>
      <c r="G33" s="6" t="str">
        <f>IFERROR(IF(tblInputSheet[[#This Row],[Hosted Platform]] = "-", "", VLOOKUP(tblInputSheet[[#This Row],[Hosted Platform]], tblHosted_PlatformOwner[], 2,FALSE)), "")</f>
        <v>CC001</v>
      </c>
      <c r="H33" s="6" t="str">
        <f>IFERROR(IF(tblInputSheet[[#This Row],[Hosted Platform]] = "-", "", VLOOKUP(tblInputSheet[[#This Row],[Hosted Platform]], tblHosted_PlatformOwner[], 1,FALSE)), "")</f>
        <v>PCF</v>
      </c>
      <c r="I33" s="6" t="str">
        <f>IFERROR(IF(tblInputSheet[[#This Row],[Provider]] = "-", "", VLOOKUP(tblInputSheet[[#This Row],[Provider]], tblParticipants[], 2,FALSE)), "")</f>
        <v>PP001</v>
      </c>
      <c r="J33" s="6" t="str">
        <f>IFERROR(IF(tblInputSheet[[#This Row],[Provider]] = "-", "", VLOOKUP(tblInputSheet[[#This Row],[Provider]], tblParticipants[], 1,FALSE)), "")</f>
        <v>Key-Claims Adjudication</v>
      </c>
      <c r="K33" s="6" t="str">
        <f>IFERROR(IF(tblInputSheet[[#This Row],[Consumer]] = "-", "", VLOOKUP(tblInputSheet[[#This Row],[Consumer]], tblParticipants[], 2,FALSE)), "")</f>
        <v>PP001</v>
      </c>
      <c r="L33" s="6" t="str">
        <f>IFERROR(IF(tblInputSheet[[#This Row],[Consumer]] = "-", "", VLOOKUP(tblInputSheet[[#This Row],[Consumer]], tblParticipants[], 1,FALSE)), "")</f>
        <v>Key-Claims Adjudication</v>
      </c>
      <c r="M33" s="6" t="str">
        <f>IFERROR(IF(tblInputSheet[[#This Row],[Integration Pattern]] = "-", "", VLOOKUP(tblInputSheet[[#This Row],[Integration Pattern]], tblIntegrationPartten[], 2,FALSE)), "")</f>
        <v>IP001</v>
      </c>
      <c r="N33" s="6" t="str">
        <f>IFERROR(IF(tblInputSheet[[#This Row],[Integration Pattern]] = "-", "", VLOOKUP(tblInputSheet[[#This Row],[Integration Pattern]], tblIntegrationPartten[], 1,FALSE)), "")</f>
        <v>PCF Internal (C-to-C)</v>
      </c>
      <c r="O33" s="6" t="str">
        <f>tblDisplaySheet[[#This Row],[Current State]]</f>
        <v>Y</v>
      </c>
      <c r="P33" s="6" t="str">
        <f>tblDisplaySheet[[#This Row],[Confidence Factor]]</f>
        <v>Medium</v>
      </c>
      <c r="Q33" s="6">
        <f>tblDisplaySheet[[#This Row],[Count of Invocations]]</f>
        <v>0</v>
      </c>
      <c r="R33" s="6">
        <f>tblDisplaySheet[[#This Row],[DB Calls (ms)]]</f>
        <v>0</v>
      </c>
      <c r="S33" s="6">
        <f>tblDisplaySheet[[#This Row],[Logic (ms)]]</f>
        <v>20</v>
      </c>
      <c r="T33" s="6">
        <f>tblDisplaySheet[[#This Row],[Rules (ms)]]</f>
        <v>0</v>
      </c>
      <c r="U33" s="6">
        <f>tblDisplaySheet[[#This Row],[Latency (ms)]]</f>
        <v>15</v>
      </c>
      <c r="V33" s="6">
        <f>tblDisplaySheet[[#This Row],[Total Process Path Length]]</f>
        <v>0</v>
      </c>
      <c r="W33" s="6">
        <f>tblDisplaySheet[[#This Row],[Total Process Time]]</f>
        <v>0</v>
      </c>
      <c r="X33" s="6">
        <f>tblDisplaySheet[[#This Row],[Total Process Path Length]]</f>
        <v>0</v>
      </c>
      <c r="Y33" s="6">
        <f>tblDisplaySheet[[#This Row],[Process NFR]]</f>
        <v>50</v>
      </c>
      <c r="Z33" s="6">
        <f>tblDisplaySheet[[#This Row],[Total Process NFR]]</f>
        <v>0</v>
      </c>
      <c r="AA33" s="6">
        <f>tblDisplaySheet[[#This Row],[Total Process Path Length NFR]]</f>
        <v>0</v>
      </c>
      <c r="AB33" s="6" t="str">
        <f>tblDisplaySheet[[#This Row],[Status]]</f>
        <v>On Target</v>
      </c>
      <c r="AC33" s="6" t="str">
        <f>tblDisplaySheet[[#This Row],[Status]]</f>
        <v>On Target</v>
      </c>
      <c r="AD33" s="6" t="str">
        <f>tblDisplaySheet[[#This Row],[Is Leaf?]]</f>
        <v>Y</v>
      </c>
      <c r="AE33" s="6" t="str">
        <f>tblDisplaySheet[[#This Row],[Owner]]</f>
        <v>Sankar</v>
      </c>
    </row>
    <row r="34" spans="1:31" x14ac:dyDescent="0.25">
      <c r="A34" s="6">
        <f>tblDisplaySheet[[#This Row],[Link]]</f>
        <v>26</v>
      </c>
      <c r="B34" s="6">
        <f>tblDisplaySheet[[#This Row],[Level]]</f>
        <v>9</v>
      </c>
      <c r="C34" s="6">
        <f>tblDisplaySheet[[#This Row],[Sl.No]]</f>
        <v>32</v>
      </c>
      <c r="D34" s="6" t="str">
        <f>tblDisplaySheet[[#This Row],[Group]]</f>
        <v>Service Level - BD</v>
      </c>
      <c r="E34" s="6" t="str">
        <f>TEXT(tblInputSheet[[#This Row],[Sl.No]], "000")&amp; ":"&amp; tblInputSheet[[#This Row],[Process]]</f>
        <v>032:NPI Crosswalk Service</v>
      </c>
      <c r="F34" s="6" t="str">
        <f>IFERROR(IF(tblInputSheet[[#This Row],[Process]] = "", "", REPT("*",Demo!$A34)&amp;""&amp;tblInputSheet[[#This Row],[Process]]), "")</f>
        <v>*********NPI Crosswalk Service</v>
      </c>
      <c r="G34" s="6" t="str">
        <f>IFERROR(IF(tblInputSheet[[#This Row],[Hosted Platform]] = "-", "", VLOOKUP(tblInputSheet[[#This Row],[Hosted Platform]], tblHosted_PlatformOwner[], 2,FALSE)), "")</f>
        <v>CC007</v>
      </c>
      <c r="H34" s="6" t="str">
        <f>IFERROR(IF(tblInputSheet[[#This Row],[Hosted Platform]] = "-", "", VLOOKUP(tblInputSheet[[#This Row],[Hosted Platform]], tblHosted_PlatformOwner[], 1,FALSE)), "")</f>
        <v>Cross-Portfolio</v>
      </c>
      <c r="I34" s="6" t="str">
        <f>IFERROR(IF(tblInputSheet[[#This Row],[Provider]] = "-", "", VLOOKUP(tblInputSheet[[#This Row],[Provider]], tblParticipants[], 2,FALSE)), "")</f>
        <v>PP010</v>
      </c>
      <c r="J34" s="6" t="str">
        <f>IFERROR(IF(tblInputSheet[[#This Row],[Provider]] = "-", "", VLOOKUP(tblInputSheet[[#This Row],[Provider]], tblParticipants[], 1,FALSE)), "")</f>
        <v>Provider</v>
      </c>
      <c r="K34" s="6" t="str">
        <f>IFERROR(IF(tblInputSheet[[#This Row],[Consumer]] = "-", "", VLOOKUP(tblInputSheet[[#This Row],[Consumer]], tblParticipants[], 2,FALSE)), "")</f>
        <v>PP001</v>
      </c>
      <c r="L34" s="6" t="str">
        <f>IFERROR(IF(tblInputSheet[[#This Row],[Consumer]] = "-", "", VLOOKUP(tblInputSheet[[#This Row],[Consumer]], tblParticipants[], 1,FALSE)), "")</f>
        <v>Key-Claims Adjudication</v>
      </c>
      <c r="M34" s="6" t="str">
        <f>IFERROR(IF(tblInputSheet[[#This Row],[Integration Pattern]] = "-", "", VLOOKUP(tblInputSheet[[#This Row],[Integration Pattern]], tblIntegrationPartten[], 2,FALSE)), "")</f>
        <v>IP008</v>
      </c>
      <c r="N34" s="6" t="str">
        <f>IFERROR(IF(tblInputSheet[[#This Row],[Integration Pattern]] = "-", "", VLOOKUP(tblInputSheet[[#This Row],[Integration Pattern]], tblIntegrationPartten[], 1,FALSE)), "")</f>
        <v>REST Service - SOAP Service</v>
      </c>
      <c r="O34" s="6" t="str">
        <f>tblDisplaySheet[[#This Row],[Current State]]</f>
        <v>Y</v>
      </c>
      <c r="P34" s="6" t="str">
        <f>tblDisplaySheet[[#This Row],[Confidence Factor]]</f>
        <v>Medium</v>
      </c>
      <c r="Q34" s="6">
        <f>tblDisplaySheet[[#This Row],[Count of Invocations]]</f>
        <v>1</v>
      </c>
      <c r="R34" s="6">
        <f>tblDisplaySheet[[#This Row],[DB Calls (ms)]]</f>
        <v>1</v>
      </c>
      <c r="S34" s="6">
        <f>tblDisplaySheet[[#This Row],[Logic (ms)]]</f>
        <v>40</v>
      </c>
      <c r="T34" s="6">
        <f>tblDisplaySheet[[#This Row],[Rules (ms)]]</f>
        <v>0</v>
      </c>
      <c r="U34" s="6">
        <f>tblDisplaySheet[[#This Row],[Latency (ms)]]</f>
        <v>15</v>
      </c>
      <c r="V34" s="6">
        <f>tblDisplaySheet[[#This Row],[Total Process Path Length]]</f>
        <v>56</v>
      </c>
      <c r="W34" s="6">
        <f>tblDisplaySheet[[#This Row],[Total Process Time]]</f>
        <v>56</v>
      </c>
      <c r="X34" s="6">
        <f>tblDisplaySheet[[#This Row],[Total Process Path Length]]</f>
        <v>56</v>
      </c>
      <c r="Y34" s="6">
        <f>tblDisplaySheet[[#This Row],[Process NFR]]</f>
        <v>65</v>
      </c>
      <c r="Z34" s="6">
        <f>tblDisplaySheet[[#This Row],[Total Process NFR]]</f>
        <v>65</v>
      </c>
      <c r="AA34" s="6">
        <f>tblDisplaySheet[[#This Row],[Total Process Path Length NFR]]</f>
        <v>65</v>
      </c>
      <c r="AB34" s="6" t="str">
        <f>tblDisplaySheet[[#This Row],[Status]]</f>
        <v>On Target</v>
      </c>
      <c r="AC34" s="6" t="str">
        <f>tblDisplaySheet[[#This Row],[Status]]</f>
        <v>On Target</v>
      </c>
      <c r="AD34" s="6" t="str">
        <f>tblDisplaySheet[[#This Row],[Is Leaf?]]</f>
        <v>Y</v>
      </c>
      <c r="AE34" s="6" t="str">
        <f>tblDisplaySheet[[#This Row],[Owner]]</f>
        <v>Sankar</v>
      </c>
    </row>
    <row r="35" spans="1:31" x14ac:dyDescent="0.25">
      <c r="A35" s="6">
        <f>tblDisplaySheet[[#This Row],[Link]]</f>
        <v>26</v>
      </c>
      <c r="B35" s="6">
        <f>tblDisplaySheet[[#This Row],[Level]]</f>
        <v>9</v>
      </c>
      <c r="C35" s="6">
        <f>tblDisplaySheet[[#This Row],[Sl.No]]</f>
        <v>33</v>
      </c>
      <c r="D35" s="6" t="str">
        <f>tblDisplaySheet[[#This Row],[Group]]</f>
        <v>Service Level - BD</v>
      </c>
      <c r="E35" s="6" t="str">
        <f>TEXT(tblInputSheet[[#This Row],[Sl.No]], "000")&amp; ":"&amp; tblInputSheet[[#This Row],[Process]]</f>
        <v>033:Claim Provider Service</v>
      </c>
      <c r="F35" s="6" t="str">
        <f>IFERROR(IF(tblInputSheet[[#This Row],[Process]] = "", "", REPT("*",Demo!$A35)&amp;""&amp;tblInputSheet[[#This Row],[Process]]), "")</f>
        <v>*********Claim Provider Service</v>
      </c>
      <c r="G35" s="6" t="str">
        <f>IFERROR(IF(tblInputSheet[[#This Row],[Hosted Platform]] = "-", "", VLOOKUP(tblInputSheet[[#This Row],[Hosted Platform]], tblHosted_PlatformOwner[], 2,FALSE)), "")</f>
        <v>CC001</v>
      </c>
      <c r="H35" s="6" t="str">
        <f>IFERROR(IF(tblInputSheet[[#This Row],[Hosted Platform]] = "-", "", VLOOKUP(tblInputSheet[[#This Row],[Hosted Platform]], tblHosted_PlatformOwner[], 1,FALSE)), "")</f>
        <v>PCF</v>
      </c>
      <c r="I35" s="6" t="str">
        <f>IFERROR(IF(tblInputSheet[[#This Row],[Provider]] = "-", "", VLOOKUP(tblInputSheet[[#This Row],[Provider]], tblParticipants[], 2,FALSE)), "")</f>
        <v>PP001</v>
      </c>
      <c r="J35" s="6" t="str">
        <f>IFERROR(IF(tblInputSheet[[#This Row],[Provider]] = "-", "", VLOOKUP(tblInputSheet[[#This Row],[Provider]], tblParticipants[], 1,FALSE)), "")</f>
        <v>Key-Claims Adjudication</v>
      </c>
      <c r="K35" s="6" t="str">
        <f>IFERROR(IF(tblInputSheet[[#This Row],[Consumer]] = "-", "", VLOOKUP(tblInputSheet[[#This Row],[Consumer]], tblParticipants[], 2,FALSE)), "")</f>
        <v>PP001</v>
      </c>
      <c r="L35" s="6" t="str">
        <f>IFERROR(IF(tblInputSheet[[#This Row],[Consumer]] = "-", "", VLOOKUP(tblInputSheet[[#This Row],[Consumer]], tblParticipants[], 1,FALSE)), "")</f>
        <v>Key-Claims Adjudication</v>
      </c>
      <c r="M35" s="6" t="str">
        <f>IFERROR(IF(tblInputSheet[[#This Row],[Integration Pattern]] = "-", "", VLOOKUP(tblInputSheet[[#This Row],[Integration Pattern]], tblIntegrationPartten[], 2,FALSE)), "")</f>
        <v>IP001</v>
      </c>
      <c r="N35" s="6" t="str">
        <f>IFERROR(IF(tblInputSheet[[#This Row],[Integration Pattern]] = "-", "", VLOOKUP(tblInputSheet[[#This Row],[Integration Pattern]], tblIntegrationPartten[], 1,FALSE)), "")</f>
        <v>PCF Internal (C-to-C)</v>
      </c>
      <c r="O35" s="6" t="str">
        <f>tblDisplaySheet[[#This Row],[Current State]]</f>
        <v>Y</v>
      </c>
      <c r="P35" s="6" t="str">
        <f>tblDisplaySheet[[#This Row],[Confidence Factor]]</f>
        <v>Medium</v>
      </c>
      <c r="Q35" s="6">
        <f>tblDisplaySheet[[#This Row],[Count of Invocations]]</f>
        <v>1</v>
      </c>
      <c r="R35" s="6">
        <f>tblDisplaySheet[[#This Row],[DB Calls (ms)]]</f>
        <v>1</v>
      </c>
      <c r="S35" s="6">
        <f>tblDisplaySheet[[#This Row],[Logic (ms)]]</f>
        <v>40</v>
      </c>
      <c r="T35" s="6">
        <f>tblDisplaySheet[[#This Row],[Rules (ms)]]</f>
        <v>0</v>
      </c>
      <c r="U35" s="6">
        <f>tblDisplaySheet[[#This Row],[Latency (ms)]]</f>
        <v>15</v>
      </c>
      <c r="V35" s="6">
        <f>tblDisplaySheet[[#This Row],[Total Process Path Length]]</f>
        <v>56</v>
      </c>
      <c r="W35" s="6">
        <f>tblDisplaySheet[[#This Row],[Total Process Time]]</f>
        <v>56</v>
      </c>
      <c r="X35" s="6">
        <f>tblDisplaySheet[[#This Row],[Total Process Path Length]]</f>
        <v>56</v>
      </c>
      <c r="Y35" s="6">
        <f>tblDisplaySheet[[#This Row],[Process NFR]]</f>
        <v>65</v>
      </c>
      <c r="Z35" s="6">
        <f>tblDisplaySheet[[#This Row],[Total Process NFR]]</f>
        <v>65</v>
      </c>
      <c r="AA35" s="6">
        <f>tblDisplaySheet[[#This Row],[Total Process Path Length NFR]]</f>
        <v>65</v>
      </c>
      <c r="AB35" s="6" t="str">
        <f>tblDisplaySheet[[#This Row],[Status]]</f>
        <v>On Target</v>
      </c>
      <c r="AC35" s="6" t="str">
        <f>tblDisplaySheet[[#This Row],[Status]]</f>
        <v>On Target</v>
      </c>
      <c r="AD35" s="6" t="str">
        <f>tblDisplaySheet[[#This Row],[Is Leaf?]]</f>
        <v>Y</v>
      </c>
      <c r="AE35" s="6" t="str">
        <f>tblDisplaySheet[[#This Row],[Owner]]</f>
        <v>Sankar</v>
      </c>
    </row>
    <row r="36" spans="1:31" x14ac:dyDescent="0.25">
      <c r="A36" s="6">
        <f>tblDisplaySheet[[#This Row],[Link]]</f>
        <v>26</v>
      </c>
      <c r="B36" s="6">
        <f>tblDisplaySheet[[#This Row],[Level]]</f>
        <v>9</v>
      </c>
      <c r="C36" s="6">
        <f>tblDisplaySheet[[#This Row],[Sl.No]]</f>
        <v>34</v>
      </c>
      <c r="D36" s="6" t="str">
        <f>tblDisplaySheet[[#This Row],[Group]]</f>
        <v>Service Level - BD</v>
      </c>
      <c r="E36" s="6" t="str">
        <f>TEXT(tblInputSheet[[#This Row],[Sl.No]], "000")&amp; ":"&amp; tblInputSheet[[#This Row],[Process]]</f>
        <v>034:Claim Lookup Service(Claim History Service)</v>
      </c>
      <c r="F36" s="6" t="str">
        <f>IFERROR(IF(tblInputSheet[[#This Row],[Process]] = "", "", REPT("*",Demo!$A36)&amp;""&amp;tblInputSheet[[#This Row],[Process]]), "")</f>
        <v>*********Claim Lookup Service(Claim History Service)</v>
      </c>
      <c r="G36" s="6" t="str">
        <f>IFERROR(IF(tblInputSheet[[#This Row],[Hosted Platform]] = "-", "", VLOOKUP(tblInputSheet[[#This Row],[Hosted Platform]], tblHosted_PlatformOwner[], 2,FALSE)), "")</f>
        <v>CC001</v>
      </c>
      <c r="H36" s="6" t="str">
        <f>IFERROR(IF(tblInputSheet[[#This Row],[Hosted Platform]] = "-", "", VLOOKUP(tblInputSheet[[#This Row],[Hosted Platform]], tblHosted_PlatformOwner[], 1,FALSE)), "")</f>
        <v>PCF</v>
      </c>
      <c r="I36" s="6" t="str">
        <f>IFERROR(IF(tblInputSheet[[#This Row],[Provider]] = "-", "", VLOOKUP(tblInputSheet[[#This Row],[Provider]], tblParticipants[], 2,FALSE)), "")</f>
        <v>PP001</v>
      </c>
      <c r="J36" s="6" t="str">
        <f>IFERROR(IF(tblInputSheet[[#This Row],[Provider]] = "-", "", VLOOKUP(tblInputSheet[[#This Row],[Provider]], tblParticipants[], 1,FALSE)), "")</f>
        <v>Key-Claims Adjudication</v>
      </c>
      <c r="K36" s="6" t="str">
        <f>IFERROR(IF(tblInputSheet[[#This Row],[Consumer]] = "-", "", VLOOKUP(tblInputSheet[[#This Row],[Consumer]], tblParticipants[], 2,FALSE)), "")</f>
        <v>PP001</v>
      </c>
      <c r="L36" s="6" t="str">
        <f>IFERROR(IF(tblInputSheet[[#This Row],[Consumer]] = "-", "", VLOOKUP(tblInputSheet[[#This Row],[Consumer]], tblParticipants[], 1,FALSE)), "")</f>
        <v>Key-Claims Adjudication</v>
      </c>
      <c r="M36" s="6" t="str">
        <f>IFERROR(IF(tblInputSheet[[#This Row],[Integration Pattern]] = "-", "", VLOOKUP(tblInputSheet[[#This Row],[Integration Pattern]], tblIntegrationPartten[], 2,FALSE)), "")</f>
        <v>IP001</v>
      </c>
      <c r="N36" s="6" t="str">
        <f>IFERROR(IF(tblInputSheet[[#This Row],[Integration Pattern]] = "-", "", VLOOKUP(tblInputSheet[[#This Row],[Integration Pattern]], tblIntegrationPartten[], 1,FALSE)), "")</f>
        <v>PCF Internal (C-to-C)</v>
      </c>
      <c r="O36" s="6" t="str">
        <f>tblDisplaySheet[[#This Row],[Current State]]</f>
        <v>Y</v>
      </c>
      <c r="P36" s="6" t="str">
        <f>tblDisplaySheet[[#This Row],[Confidence Factor]]</f>
        <v>Medium</v>
      </c>
      <c r="Q36" s="6">
        <f>tblDisplaySheet[[#This Row],[Count of Invocations]]</f>
        <v>1</v>
      </c>
      <c r="R36" s="6">
        <f>tblDisplaySheet[[#This Row],[DB Calls (ms)]]</f>
        <v>1</v>
      </c>
      <c r="S36" s="6">
        <f>tblDisplaySheet[[#This Row],[Logic (ms)]]</f>
        <v>55</v>
      </c>
      <c r="T36" s="6">
        <f>tblDisplaySheet[[#This Row],[Rules (ms)]]</f>
        <v>1</v>
      </c>
      <c r="U36" s="6">
        <f>tblDisplaySheet[[#This Row],[Latency (ms)]]</f>
        <v>15</v>
      </c>
      <c r="V36" s="6">
        <f>tblDisplaySheet[[#This Row],[Total Process Path Length]]</f>
        <v>72</v>
      </c>
      <c r="W36" s="6">
        <f>tblDisplaySheet[[#This Row],[Total Process Time]]</f>
        <v>72</v>
      </c>
      <c r="X36" s="6">
        <f>tblDisplaySheet[[#This Row],[Total Process Path Length]]</f>
        <v>72</v>
      </c>
      <c r="Y36" s="6">
        <f>tblDisplaySheet[[#This Row],[Process NFR]]</f>
        <v>75</v>
      </c>
      <c r="Z36" s="6">
        <f>tblDisplaySheet[[#This Row],[Total Process NFR]]</f>
        <v>75</v>
      </c>
      <c r="AA36" s="6">
        <f>tblDisplaySheet[[#This Row],[Total Process Path Length NFR]]</f>
        <v>75</v>
      </c>
      <c r="AB36" s="6" t="str">
        <f>tblDisplaySheet[[#This Row],[Status]]</f>
        <v>On Target</v>
      </c>
      <c r="AC36" s="6" t="str">
        <f>tblDisplaySheet[[#This Row],[Status]]</f>
        <v>On Target</v>
      </c>
      <c r="AD36" s="6" t="str">
        <f>tblDisplaySheet[[#This Row],[Is Leaf?]]</f>
        <v>Y</v>
      </c>
      <c r="AE36" s="6" t="str">
        <f>tblDisplaySheet[[#This Row],[Owner]]</f>
        <v>Sankar</v>
      </c>
    </row>
    <row r="37" spans="1:31" x14ac:dyDescent="0.25">
      <c r="A37" s="6">
        <f>tblDisplaySheet[[#This Row],[Link]]</f>
        <v>26</v>
      </c>
      <c r="B37" s="6">
        <f>tblDisplaySheet[[#This Row],[Level]]</f>
        <v>9</v>
      </c>
      <c r="C37" s="6">
        <f>tblDisplaySheet[[#This Row],[Sl.No]]</f>
        <v>35</v>
      </c>
      <c r="D37" s="6" t="str">
        <f>tblDisplaySheet[[#This Row],[Group]]</f>
        <v>Service Level - BD</v>
      </c>
      <c r="E37" s="6" t="str">
        <f>TEXT(tblInputSheet[[#This Row],[Sl.No]], "000")&amp; ":"&amp; tblInputSheet[[#This Row],[Process]]</f>
        <v>035:Service Disposition &amp; Pre-Auth Service</v>
      </c>
      <c r="F37" s="6" t="str">
        <f>IFERROR(IF(tblInputSheet[[#This Row],[Process]] = "", "", REPT("*",Demo!$A37)&amp;""&amp;tblInputSheet[[#This Row],[Process]]), "")</f>
        <v>*********Service Disposition &amp; Pre-Auth Service</v>
      </c>
      <c r="G37" s="6" t="str">
        <f>IFERROR(IF(tblInputSheet[[#This Row],[Hosted Platform]] = "-", "", VLOOKUP(tblInputSheet[[#This Row],[Hosted Platform]], tblHosted_PlatformOwner[], 2,FALSE)), "")</f>
        <v>CC001</v>
      </c>
      <c r="H37" s="6" t="str">
        <f>IFERROR(IF(tblInputSheet[[#This Row],[Hosted Platform]] = "-", "", VLOOKUP(tblInputSheet[[#This Row],[Hosted Platform]], tblHosted_PlatformOwner[], 1,FALSE)), "")</f>
        <v>PCF</v>
      </c>
      <c r="I37" s="6" t="str">
        <f>IFERROR(IF(tblInputSheet[[#This Row],[Provider]] = "-", "", VLOOKUP(tblInputSheet[[#This Row],[Provider]], tblParticipants[], 2,FALSE)), "")</f>
        <v>PP001</v>
      </c>
      <c r="J37" s="6" t="str">
        <f>IFERROR(IF(tblInputSheet[[#This Row],[Provider]] = "-", "", VLOOKUP(tblInputSheet[[#This Row],[Provider]], tblParticipants[], 1,FALSE)), "")</f>
        <v>Key-Claims Adjudication</v>
      </c>
      <c r="K37" s="6" t="str">
        <f>IFERROR(IF(tblInputSheet[[#This Row],[Consumer]] = "-", "", VLOOKUP(tblInputSheet[[#This Row],[Consumer]], tblParticipants[], 2,FALSE)), "")</f>
        <v>PP001</v>
      </c>
      <c r="L37" s="6" t="str">
        <f>IFERROR(IF(tblInputSheet[[#This Row],[Consumer]] = "-", "", VLOOKUP(tblInputSheet[[#This Row],[Consumer]], tblParticipants[], 1,FALSE)), "")</f>
        <v>Key-Claims Adjudication</v>
      </c>
      <c r="M37" s="6" t="str">
        <f>IFERROR(IF(tblInputSheet[[#This Row],[Integration Pattern]] = "-", "", VLOOKUP(tblInputSheet[[#This Row],[Integration Pattern]], tblIntegrationPartten[], 2,FALSE)), "")</f>
        <v>IP001</v>
      </c>
      <c r="N37" s="6" t="str">
        <f>IFERROR(IF(tblInputSheet[[#This Row],[Integration Pattern]] = "-", "", VLOOKUP(tblInputSheet[[#This Row],[Integration Pattern]], tblIntegrationPartten[], 1,FALSE)), "")</f>
        <v>PCF Internal (C-to-C)</v>
      </c>
      <c r="O37" s="6" t="str">
        <f>tblDisplaySheet[[#This Row],[Current State]]</f>
        <v>Y</v>
      </c>
      <c r="P37" s="6" t="str">
        <f>tblDisplaySheet[[#This Row],[Confidence Factor]]</f>
        <v>Medium</v>
      </c>
      <c r="Q37" s="6">
        <f>tblDisplaySheet[[#This Row],[Count of Invocations]]</f>
        <v>1</v>
      </c>
      <c r="R37" s="6">
        <f>tblDisplaySheet[[#This Row],[DB Calls (ms)]]</f>
        <v>1</v>
      </c>
      <c r="S37" s="6">
        <f>tblDisplaySheet[[#This Row],[Logic (ms)]]</f>
        <v>5</v>
      </c>
      <c r="T37" s="6">
        <f>tblDisplaySheet[[#This Row],[Rules (ms)]]</f>
        <v>0</v>
      </c>
      <c r="U37" s="6">
        <f>tblDisplaySheet[[#This Row],[Latency (ms)]]</f>
        <v>15</v>
      </c>
      <c r="V37" s="6">
        <f>tblDisplaySheet[[#This Row],[Total Process Path Length]]</f>
        <v>67</v>
      </c>
      <c r="W37" s="6">
        <f>tblDisplaySheet[[#This Row],[Total Process Time]]</f>
        <v>21</v>
      </c>
      <c r="X37" s="6">
        <f>tblDisplaySheet[[#This Row],[Total Process Path Length]]</f>
        <v>67</v>
      </c>
      <c r="Y37" s="6">
        <f>tblDisplaySheet[[#This Row],[Process NFR]]</f>
        <v>20</v>
      </c>
      <c r="Z37" s="6">
        <f>tblDisplaySheet[[#This Row],[Total Process NFR]]</f>
        <v>20</v>
      </c>
      <c r="AA37" s="6">
        <f>tblDisplaySheet[[#This Row],[Total Process Path Length NFR]]</f>
        <v>70</v>
      </c>
      <c r="AB37" s="6" t="str">
        <f>tblDisplaySheet[[#This Row],[Status]]</f>
        <v>On Target</v>
      </c>
      <c r="AC37" s="6" t="str">
        <f>tblDisplaySheet[[#This Row],[Status]]</f>
        <v>On Target</v>
      </c>
      <c r="AD37" s="6" t="str">
        <f>tblDisplaySheet[[#This Row],[Is Leaf?]]</f>
        <v>N</v>
      </c>
      <c r="AE37" s="6" t="str">
        <f>tblDisplaySheet[[#This Row],[Owner]]</f>
        <v>Sankar</v>
      </c>
    </row>
    <row r="38" spans="1:31" x14ac:dyDescent="0.25">
      <c r="A38" s="6">
        <f>tblDisplaySheet[[#This Row],[Link]]</f>
        <v>35</v>
      </c>
      <c r="B38" s="6">
        <f>tblDisplaySheet[[#This Row],[Level]]</f>
        <v>10</v>
      </c>
      <c r="C38" s="6">
        <f>tblDisplaySheet[[#This Row],[Sl.No]]</f>
        <v>36</v>
      </c>
      <c r="D38" s="6" t="str">
        <f>tblDisplaySheet[[#This Row],[Group]]</f>
        <v>Service Level - BD</v>
      </c>
      <c r="E38" s="6" t="str">
        <f>TEXT(tblInputSheet[[#This Row],[Sl.No]], "000")&amp; ":"&amp; tblInputSheet[[#This Row],[Process]]</f>
        <v>036:Keystone PANS Service(Adj. Path)</v>
      </c>
      <c r="F38" s="6" t="str">
        <f>IFERROR(IF(tblInputSheet[[#This Row],[Process]] = "", "", REPT("*",Demo!$A38)&amp;""&amp;tblInputSheet[[#This Row],[Process]]), "")</f>
        <v>**********Keystone PANS Service(Adj. Path)</v>
      </c>
      <c r="G38" s="6" t="str">
        <f>IFERROR(IF(tblInputSheet[[#This Row],[Hosted Platform]] = "-", "", VLOOKUP(tblInputSheet[[#This Row],[Hosted Platform]], tblHosted_PlatformOwner[], 2,FALSE)), "")</f>
        <v>CC001</v>
      </c>
      <c r="H38" s="6" t="str">
        <f>IFERROR(IF(tblInputSheet[[#This Row],[Hosted Platform]] = "-", "", VLOOKUP(tblInputSheet[[#This Row],[Hosted Platform]], tblHosted_PlatformOwner[], 1,FALSE)), "")</f>
        <v>PCF</v>
      </c>
      <c r="I38" s="6" t="str">
        <f>IFERROR(IF(tblInputSheet[[#This Row],[Provider]] = "-", "", VLOOKUP(tblInputSheet[[#This Row],[Provider]], tblParticipants[], 2,FALSE)), "")</f>
        <v>PP001</v>
      </c>
      <c r="J38" s="6" t="str">
        <f>IFERROR(IF(tblInputSheet[[#This Row],[Provider]] = "-", "", VLOOKUP(tblInputSheet[[#This Row],[Provider]], tblParticipants[], 1,FALSE)), "")</f>
        <v>Key-Claims Adjudication</v>
      </c>
      <c r="K38" s="6" t="str">
        <f>IFERROR(IF(tblInputSheet[[#This Row],[Consumer]] = "-", "", VLOOKUP(tblInputSheet[[#This Row],[Consumer]], tblParticipants[], 2,FALSE)), "")</f>
        <v>PP001</v>
      </c>
      <c r="L38" s="6" t="str">
        <f>IFERROR(IF(tblInputSheet[[#This Row],[Consumer]] = "-", "", VLOOKUP(tblInputSheet[[#This Row],[Consumer]], tblParticipants[], 1,FALSE)), "")</f>
        <v>Key-Claims Adjudication</v>
      </c>
      <c r="M38" s="6" t="str">
        <f>IFERROR(IF(tblInputSheet[[#This Row],[Integration Pattern]] = "-", "", VLOOKUP(tblInputSheet[[#This Row],[Integration Pattern]], tblIntegrationPartten[], 2,FALSE)), "")</f>
        <v>IP001</v>
      </c>
      <c r="N38" s="6" t="str">
        <f>IFERROR(IF(tblInputSheet[[#This Row],[Integration Pattern]] = "-", "", VLOOKUP(tblInputSheet[[#This Row],[Integration Pattern]], tblIntegrationPartten[], 1,FALSE)), "")</f>
        <v>PCF Internal (C-to-C)</v>
      </c>
      <c r="O38" s="6" t="str">
        <f>tblDisplaySheet[[#This Row],[Current State]]</f>
        <v>Y</v>
      </c>
      <c r="P38" s="6" t="str">
        <f>tblDisplaySheet[[#This Row],[Confidence Factor]]</f>
        <v>Medium</v>
      </c>
      <c r="Q38" s="6">
        <f>tblDisplaySheet[[#This Row],[Count of Invocations]]</f>
        <v>1</v>
      </c>
      <c r="R38" s="6">
        <f>tblDisplaySheet[[#This Row],[DB Calls (ms)]]</f>
        <v>1</v>
      </c>
      <c r="S38" s="6">
        <f>tblDisplaySheet[[#This Row],[Logic (ms)]]</f>
        <v>30</v>
      </c>
      <c r="T38" s="6">
        <f>tblDisplaySheet[[#This Row],[Rules (ms)]]</f>
        <v>0</v>
      </c>
      <c r="U38" s="6">
        <f>tblDisplaySheet[[#This Row],[Latency (ms)]]</f>
        <v>15</v>
      </c>
      <c r="V38" s="6">
        <f>tblDisplaySheet[[#This Row],[Total Process Path Length]]</f>
        <v>46</v>
      </c>
      <c r="W38" s="6">
        <f>tblDisplaySheet[[#This Row],[Total Process Time]]</f>
        <v>46</v>
      </c>
      <c r="X38" s="6">
        <f>tblDisplaySheet[[#This Row],[Total Process Path Length]]</f>
        <v>46</v>
      </c>
      <c r="Y38" s="6">
        <f>tblDisplaySheet[[#This Row],[Process NFR]]</f>
        <v>50</v>
      </c>
      <c r="Z38" s="6">
        <f>tblDisplaySheet[[#This Row],[Total Process NFR]]</f>
        <v>50</v>
      </c>
      <c r="AA38" s="6">
        <f>tblDisplaySheet[[#This Row],[Total Process Path Length NFR]]</f>
        <v>50</v>
      </c>
      <c r="AB38" s="6" t="str">
        <f>tblDisplaySheet[[#This Row],[Status]]</f>
        <v>On Target</v>
      </c>
      <c r="AC38" s="6" t="str">
        <f>tblDisplaySheet[[#This Row],[Status]]</f>
        <v>On Target</v>
      </c>
      <c r="AD38" s="6" t="str">
        <f>tblDisplaySheet[[#This Row],[Is Leaf?]]</f>
        <v>Y</v>
      </c>
      <c r="AE38" s="6" t="str">
        <f>tblDisplaySheet[[#This Row],[Owner]]</f>
        <v>Sankar</v>
      </c>
    </row>
    <row r="39" spans="1:31" x14ac:dyDescent="0.25">
      <c r="A39" s="6">
        <f>tblDisplaySheet[[#This Row],[Link]]</f>
        <v>26</v>
      </c>
      <c r="B39" s="6">
        <f>tblDisplaySheet[[#This Row],[Level]]</f>
        <v>9</v>
      </c>
      <c r="C39" s="6">
        <f>tblDisplaySheet[[#This Row],[Sl.No]]</f>
        <v>37</v>
      </c>
      <c r="D39" s="6" t="str">
        <f>tblDisplaySheet[[#This Row],[Group]]</f>
        <v>Service Level - BD</v>
      </c>
      <c r="E39" s="6" t="str">
        <f>TEXT(tblInputSheet[[#This Row],[Sl.No]], "000")&amp; ":"&amp; tblInputSheet[[#This Row],[Process]]</f>
        <v>037:ARIS Mule Adapter</v>
      </c>
      <c r="F39" s="6" t="str">
        <f>IFERROR(IF(tblInputSheet[[#This Row],[Process]] = "", "", REPT("*",Demo!$A39)&amp;""&amp;tblInputSheet[[#This Row],[Process]]), "")</f>
        <v>*********ARIS Mule Adapter</v>
      </c>
      <c r="G39" s="6" t="str">
        <f>IFERROR(IF(tblInputSheet[[#This Row],[Hosted Platform]] = "-", "", VLOOKUP(tblInputSheet[[#This Row],[Hosted Platform]], tblHosted_PlatformOwner[], 2,FALSE)), "")</f>
        <v>CC002</v>
      </c>
      <c r="H39" s="6" t="str">
        <f>IFERROR(IF(tblInputSheet[[#This Row],[Hosted Platform]] = "-", "", VLOOKUP(tblInputSheet[[#This Row],[Hosted Platform]], tblHosted_PlatformOwner[], 1,FALSE)), "")</f>
        <v>Mule ESB</v>
      </c>
      <c r="I39" s="6" t="str">
        <f>IFERROR(IF(tblInputSheet[[#This Row],[Provider]] = "-", "", VLOOKUP(tblInputSheet[[#This Row],[Provider]], tblParticipants[], 2,FALSE)), "")</f>
        <v>PP001</v>
      </c>
      <c r="J39" s="6" t="str">
        <f>IFERROR(IF(tblInputSheet[[#This Row],[Provider]] = "-", "", VLOOKUP(tblInputSheet[[#This Row],[Provider]], tblParticipants[], 1,FALSE)), "")</f>
        <v>Key-Claims Adjudication</v>
      </c>
      <c r="K39" s="6" t="str">
        <f>IFERROR(IF(tblInputSheet[[#This Row],[Consumer]] = "-", "", VLOOKUP(tblInputSheet[[#This Row],[Consumer]], tblParticipants[], 2,FALSE)), "")</f>
        <v>PP001</v>
      </c>
      <c r="L39" s="6" t="str">
        <f>IFERROR(IF(tblInputSheet[[#This Row],[Consumer]] = "-", "", VLOOKUP(tblInputSheet[[#This Row],[Consumer]], tblParticipants[], 1,FALSE)), "")</f>
        <v>Key-Claims Adjudication</v>
      </c>
      <c r="M39" s="6" t="str">
        <f>IFERROR(IF(tblInputSheet[[#This Row],[Integration Pattern]] = "-", "", VLOOKUP(tblInputSheet[[#This Row],[Integration Pattern]], tblIntegrationPartten[], 2,FALSE)), "")</f>
        <v>IP003</v>
      </c>
      <c r="N39" s="6" t="str">
        <f>IFERROR(IF(tblInputSheet[[#This Row],[Integration Pattern]] = "-", "", VLOOKUP(tblInputSheet[[#This Row],[Integration Pattern]], tblIntegrationPartten[], 1,FALSE)), "")</f>
        <v>ESB - MQ Integration</v>
      </c>
      <c r="O39" s="6" t="str">
        <f>tblDisplaySheet[[#This Row],[Current State]]</f>
        <v>Y</v>
      </c>
      <c r="P39" s="6" t="str">
        <f>tblDisplaySheet[[#This Row],[Confidence Factor]]</f>
        <v>Low</v>
      </c>
      <c r="Q39" s="6">
        <f>tblDisplaySheet[[#This Row],[Count of Invocations]]</f>
        <v>1</v>
      </c>
      <c r="R39" s="6">
        <f>tblDisplaySheet[[#This Row],[DB Calls (ms)]]</f>
        <v>0</v>
      </c>
      <c r="S39" s="6">
        <f>tblDisplaySheet[[#This Row],[Logic (ms)]]</f>
        <v>50</v>
      </c>
      <c r="T39" s="6">
        <f>tblDisplaySheet[[#This Row],[Rules (ms)]]</f>
        <v>0</v>
      </c>
      <c r="U39" s="6">
        <f>tblDisplaySheet[[#This Row],[Latency (ms)]]</f>
        <v>35</v>
      </c>
      <c r="V39" s="6">
        <f>tblDisplaySheet[[#This Row],[Total Process Path Length]]</f>
        <v>116</v>
      </c>
      <c r="W39" s="6">
        <f>tblDisplaySheet[[#This Row],[Total Process Time]]</f>
        <v>85</v>
      </c>
      <c r="X39" s="6">
        <f>tblDisplaySheet[[#This Row],[Total Process Path Length]]</f>
        <v>116</v>
      </c>
      <c r="Y39" s="6">
        <f>tblDisplaySheet[[#This Row],[Process NFR]]</f>
        <v>85</v>
      </c>
      <c r="Z39" s="6">
        <f>tblDisplaySheet[[#This Row],[Total Process NFR]]</f>
        <v>85</v>
      </c>
      <c r="AA39" s="6">
        <f>tblDisplaySheet[[#This Row],[Total Process Path Length NFR]]</f>
        <v>120</v>
      </c>
      <c r="AB39" s="6" t="str">
        <f>tblDisplaySheet[[#This Row],[Status]]</f>
        <v>On Target</v>
      </c>
      <c r="AC39" s="6" t="str">
        <f>tblDisplaySheet[[#This Row],[Status]]</f>
        <v>On Target</v>
      </c>
      <c r="AD39" s="6" t="str">
        <f>tblDisplaySheet[[#This Row],[Is Leaf?]]</f>
        <v>N</v>
      </c>
      <c r="AE39" s="6" t="str">
        <f>tblDisplaySheet[[#This Row],[Owner]]</f>
        <v>Sankar</v>
      </c>
    </row>
    <row r="40" spans="1:31" x14ac:dyDescent="0.25">
      <c r="A40" s="6">
        <f>tblDisplaySheet[[#This Row],[Link]]</f>
        <v>37</v>
      </c>
      <c r="B40" s="6">
        <f>tblDisplaySheet[[#This Row],[Level]]</f>
        <v>10</v>
      </c>
      <c r="C40" s="6">
        <f>tblDisplaySheet[[#This Row],[Sl.No]]</f>
        <v>38</v>
      </c>
      <c r="D40" s="6" t="str">
        <f>tblDisplaySheet[[#This Row],[Group]]</f>
        <v>Service Level - BD</v>
      </c>
      <c r="E40" s="6" t="str">
        <f>TEXT(tblInputSheet[[#This Row],[Sl.No]], "000")&amp; ":"&amp; tblInputSheet[[#This Row],[Process]]</f>
        <v>038:ARIS Module</v>
      </c>
      <c r="F40" s="6" t="str">
        <f>IFERROR(IF(tblInputSheet[[#This Row],[Process]] = "", "", REPT("*",Demo!$A40)&amp;""&amp;tblInputSheet[[#This Row],[Process]]), "")</f>
        <v>**********ARIS Module</v>
      </c>
      <c r="G40" s="6" t="str">
        <f>IFERROR(IF(tblInputSheet[[#This Row],[Hosted Platform]] = "-", "", VLOOKUP(tblInputSheet[[#This Row],[Hosted Platform]], tblHosted_PlatformOwner[], 2,FALSE)), "")</f>
        <v>CC007</v>
      </c>
      <c r="H40" s="6" t="str">
        <f>IFERROR(IF(tblInputSheet[[#This Row],[Hosted Platform]] = "-", "", VLOOKUP(tblInputSheet[[#This Row],[Hosted Platform]], tblHosted_PlatformOwner[], 1,FALSE)), "")</f>
        <v>Cross-Portfolio</v>
      </c>
      <c r="I40" s="6" t="str">
        <f>IFERROR(IF(tblInputSheet[[#This Row],[Provider]] = "-", "", VLOOKUP(tblInputSheet[[#This Row],[Provider]], tblParticipants[], 2,FALSE)), "")</f>
        <v>PP009</v>
      </c>
      <c r="J40" s="6" t="str">
        <f>IFERROR(IF(tblInputSheet[[#This Row],[Provider]] = "-", "", VLOOKUP(tblInputSheet[[#This Row],[Provider]], tblParticipants[], 1,FALSE)), "")</f>
        <v>EMPCO</v>
      </c>
      <c r="K40" s="6" t="str">
        <f>IFERROR(IF(tblInputSheet[[#This Row],[Consumer]] = "-", "", VLOOKUP(tblInputSheet[[#This Row],[Consumer]], tblParticipants[], 2,FALSE)), "")</f>
        <v>PP001</v>
      </c>
      <c r="L40" s="6" t="str">
        <f>IFERROR(IF(tblInputSheet[[#This Row],[Consumer]] = "-", "", VLOOKUP(tblInputSheet[[#This Row],[Consumer]], tblParticipants[], 1,FALSE)), "")</f>
        <v>Key-Claims Adjudication</v>
      </c>
      <c r="M40" s="6" t="str">
        <f>IFERROR(IF(tblInputSheet[[#This Row],[Integration Pattern]] = "-", "", VLOOKUP(tblInputSheet[[#This Row],[Integration Pattern]], tblIntegrationPartten[], 2,FALSE)), "")</f>
        <v>IP010</v>
      </c>
      <c r="N40" s="6" t="str">
        <f>IFERROR(IF(tblInputSheet[[#This Row],[Integration Pattern]] = "-", "", VLOOKUP(tblInputSheet[[#This Row],[Integration Pattern]], tblIntegrationPartten[], 1,FALSE)), "")</f>
        <v>BC Internal</v>
      </c>
      <c r="O40" s="6" t="str">
        <f>tblDisplaySheet[[#This Row],[Current State]]</f>
        <v>Y</v>
      </c>
      <c r="P40" s="6" t="str">
        <f>tblDisplaySheet[[#This Row],[Confidence Factor]]</f>
        <v>Medium</v>
      </c>
      <c r="Q40" s="6">
        <f>tblDisplaySheet[[#This Row],[Count of Invocations]]</f>
        <v>1</v>
      </c>
      <c r="R40" s="6">
        <f>tblDisplaySheet[[#This Row],[DB Calls (ms)]]</f>
        <v>1</v>
      </c>
      <c r="S40" s="6">
        <f>tblDisplaySheet[[#This Row],[Logic (ms)]]</f>
        <v>15</v>
      </c>
      <c r="T40" s="6">
        <f>tblDisplaySheet[[#This Row],[Rules (ms)]]</f>
        <v>0</v>
      </c>
      <c r="U40" s="6">
        <f>tblDisplaySheet[[#This Row],[Latency (ms)]]</f>
        <v>15</v>
      </c>
      <c r="V40" s="6">
        <f>tblDisplaySheet[[#This Row],[Total Process Path Length]]</f>
        <v>31</v>
      </c>
      <c r="W40" s="6">
        <f>tblDisplaySheet[[#This Row],[Total Process Time]]</f>
        <v>31</v>
      </c>
      <c r="X40" s="6">
        <f>tblDisplaySheet[[#This Row],[Total Process Path Length]]</f>
        <v>31</v>
      </c>
      <c r="Y40" s="6">
        <f>tblDisplaySheet[[#This Row],[Process NFR]]</f>
        <v>35</v>
      </c>
      <c r="Z40" s="6">
        <f>tblDisplaySheet[[#This Row],[Total Process NFR]]</f>
        <v>35</v>
      </c>
      <c r="AA40" s="6">
        <f>tblDisplaySheet[[#This Row],[Total Process Path Length NFR]]</f>
        <v>35</v>
      </c>
      <c r="AB40" s="6" t="str">
        <f>tblDisplaySheet[[#This Row],[Status]]</f>
        <v>On Target</v>
      </c>
      <c r="AC40" s="6" t="str">
        <f>tblDisplaySheet[[#This Row],[Status]]</f>
        <v>On Target</v>
      </c>
      <c r="AD40" s="6" t="str">
        <f>tblDisplaySheet[[#This Row],[Is Leaf?]]</f>
        <v>Y</v>
      </c>
      <c r="AE40" s="6" t="str">
        <f>tblDisplaySheet[[#This Row],[Owner]]</f>
        <v>Sankar</v>
      </c>
    </row>
    <row r="41" spans="1:31" x14ac:dyDescent="0.25">
      <c r="A41" s="6">
        <f>tblDisplaySheet[[#This Row],[Link]]</f>
        <v>26</v>
      </c>
      <c r="B41" s="6">
        <f>tblDisplaySheet[[#This Row],[Level]]</f>
        <v>9</v>
      </c>
      <c r="C41" s="6">
        <f>tblDisplaySheet[[#This Row],[Sl.No]]</f>
        <v>39</v>
      </c>
      <c r="D41" s="6" t="str">
        <f>tblDisplaySheet[[#This Row],[Group]]</f>
        <v>Service Level - BD</v>
      </c>
      <c r="E41" s="6" t="str">
        <f>TEXT(tblInputSheet[[#This Row],[Sl.No]], "000")&amp; ":"&amp; tblInputSheet[[#This Row],[Process]]</f>
        <v>039:Service Eligibility &amp; PreAuth Rules Service</v>
      </c>
      <c r="F41" s="6" t="str">
        <f>IFERROR(IF(tblInputSheet[[#This Row],[Process]] = "", "", REPT("*",Demo!$A41)&amp;""&amp;tblInputSheet[[#This Row],[Process]]), "")</f>
        <v>*********Service Eligibility &amp; PreAuth Rules Service</v>
      </c>
      <c r="G41" s="6" t="str">
        <f>IFERROR(IF(tblInputSheet[[#This Row],[Hosted Platform]] = "-", "", VLOOKUP(tblInputSheet[[#This Row],[Hosted Platform]], tblHosted_PlatformOwner[], 2,FALSE)), "")</f>
        <v>CC001</v>
      </c>
      <c r="H41" s="6" t="str">
        <f>IFERROR(IF(tblInputSheet[[#This Row],[Hosted Platform]] = "-", "", VLOOKUP(tblInputSheet[[#This Row],[Hosted Platform]], tblHosted_PlatformOwner[], 1,FALSE)), "")</f>
        <v>PCF</v>
      </c>
      <c r="I41" s="6" t="str">
        <f>IFERROR(IF(tblInputSheet[[#This Row],[Provider]] = "-", "", VLOOKUP(tblInputSheet[[#This Row],[Provider]], tblParticipants[], 2,FALSE)), "")</f>
        <v>PP001</v>
      </c>
      <c r="J41" s="6" t="str">
        <f>IFERROR(IF(tblInputSheet[[#This Row],[Provider]] = "-", "", VLOOKUP(tblInputSheet[[#This Row],[Provider]], tblParticipants[], 1,FALSE)), "")</f>
        <v>Key-Claims Adjudication</v>
      </c>
      <c r="K41" s="6" t="str">
        <f>IFERROR(IF(tblInputSheet[[#This Row],[Consumer]] = "-", "", VLOOKUP(tblInputSheet[[#This Row],[Consumer]], tblParticipants[], 2,FALSE)), "")</f>
        <v>PP001</v>
      </c>
      <c r="L41" s="6" t="str">
        <f>IFERROR(IF(tblInputSheet[[#This Row],[Consumer]] = "-", "", VLOOKUP(tblInputSheet[[#This Row],[Consumer]], tblParticipants[], 1,FALSE)), "")</f>
        <v>Key-Claims Adjudication</v>
      </c>
      <c r="M41" s="6" t="str">
        <f>IFERROR(IF(tblInputSheet[[#This Row],[Integration Pattern]] = "-", "", VLOOKUP(tblInputSheet[[#This Row],[Integration Pattern]], tblIntegrationPartten[], 2,FALSE)), "")</f>
        <v>IP001</v>
      </c>
      <c r="N41" s="6" t="str">
        <f>IFERROR(IF(tblInputSheet[[#This Row],[Integration Pattern]] = "-", "", VLOOKUP(tblInputSheet[[#This Row],[Integration Pattern]], tblIntegrationPartten[], 1,FALSE)), "")</f>
        <v>PCF Internal (C-to-C)</v>
      </c>
      <c r="O41" s="6" t="str">
        <f>tblDisplaySheet[[#This Row],[Current State]]</f>
        <v>Y</v>
      </c>
      <c r="P41" s="6" t="str">
        <f>tblDisplaySheet[[#This Row],[Confidence Factor]]</f>
        <v>Medium</v>
      </c>
      <c r="Q41" s="6">
        <f>tblDisplaySheet[[#This Row],[Count of Invocations]]</f>
        <v>1</v>
      </c>
      <c r="R41" s="6">
        <f>tblDisplaySheet[[#This Row],[DB Calls (ms)]]</f>
        <v>1</v>
      </c>
      <c r="S41" s="6">
        <f>tblDisplaySheet[[#This Row],[Logic (ms)]]</f>
        <v>80</v>
      </c>
      <c r="T41" s="6">
        <f>tblDisplaySheet[[#This Row],[Rules (ms)]]</f>
        <v>0</v>
      </c>
      <c r="U41" s="6">
        <f>tblDisplaySheet[[#This Row],[Latency (ms)]]</f>
        <v>5</v>
      </c>
      <c r="V41" s="6">
        <f>tblDisplaySheet[[#This Row],[Total Process Path Length]]</f>
        <v>195</v>
      </c>
      <c r="W41" s="6">
        <f>tblDisplaySheet[[#This Row],[Total Process Time]]</f>
        <v>86</v>
      </c>
      <c r="X41" s="6">
        <f>tblDisplaySheet[[#This Row],[Total Process Path Length]]</f>
        <v>195</v>
      </c>
      <c r="Y41" s="6">
        <f>tblDisplaySheet[[#This Row],[Process NFR]]</f>
        <v>100</v>
      </c>
      <c r="Z41" s="6">
        <f>tblDisplaySheet[[#This Row],[Total Process NFR]]</f>
        <v>100</v>
      </c>
      <c r="AA41" s="6">
        <f>tblDisplaySheet[[#This Row],[Total Process Path Length NFR]]</f>
        <v>240</v>
      </c>
      <c r="AB41" s="6" t="str">
        <f>tblDisplaySheet[[#This Row],[Status]]</f>
        <v>On Target</v>
      </c>
      <c r="AC41" s="6" t="str">
        <f>tblDisplaySheet[[#This Row],[Status]]</f>
        <v>On Target</v>
      </c>
      <c r="AD41" s="6" t="str">
        <f>tblDisplaySheet[[#This Row],[Is Leaf?]]</f>
        <v>N</v>
      </c>
      <c r="AE41" s="6" t="str">
        <f>tblDisplaySheet[[#This Row],[Owner]]</f>
        <v>Sankar</v>
      </c>
    </row>
    <row r="42" spans="1:31" x14ac:dyDescent="0.25">
      <c r="A42" s="6">
        <f>tblDisplaySheet[[#This Row],[Link]]</f>
        <v>39</v>
      </c>
      <c r="B42" s="6">
        <f>tblDisplaySheet[[#This Row],[Level]]</f>
        <v>10</v>
      </c>
      <c r="C42" s="6">
        <f>tblDisplaySheet[[#This Row],[Sl.No]]</f>
        <v>40</v>
      </c>
      <c r="D42" s="6" t="str">
        <f>tblDisplaySheet[[#This Row],[Group]]</f>
        <v>Service Level - BD</v>
      </c>
      <c r="E42" s="6" t="str">
        <f>TEXT(tblInputSheet[[#This Row],[Sl.No]], "000")&amp; ":"&amp; tblInputSheet[[#This Row],[Process]]</f>
        <v>040:Service Category Determination Service</v>
      </c>
      <c r="F42" s="6" t="str">
        <f>IFERROR(IF(tblInputSheet[[#This Row],[Process]] = "", "", REPT("*",Demo!$A42)&amp;""&amp;tblInputSheet[[#This Row],[Process]]), "")</f>
        <v>**********Service Category Determination Service</v>
      </c>
      <c r="G42" s="6" t="str">
        <f>IFERROR(IF(tblInputSheet[[#This Row],[Hosted Platform]] = "-", "", VLOOKUP(tblInputSheet[[#This Row],[Hosted Platform]], tblHosted_PlatformOwner[], 2,FALSE)), "")</f>
        <v>CC001</v>
      </c>
      <c r="H42" s="6" t="str">
        <f>IFERROR(IF(tblInputSheet[[#This Row],[Hosted Platform]] = "-", "", VLOOKUP(tblInputSheet[[#This Row],[Hosted Platform]], tblHosted_PlatformOwner[], 1,FALSE)), "")</f>
        <v>PCF</v>
      </c>
      <c r="I42" s="6" t="str">
        <f>IFERROR(IF(tblInputSheet[[#This Row],[Provider]] = "-", "", VLOOKUP(tblInputSheet[[#This Row],[Provider]], tblParticipants[], 2,FALSE)), "")</f>
        <v>PP001</v>
      </c>
      <c r="J42" s="6" t="str">
        <f>IFERROR(IF(tblInputSheet[[#This Row],[Provider]] = "-", "", VLOOKUP(tblInputSheet[[#This Row],[Provider]], tblParticipants[], 1,FALSE)), "")</f>
        <v>Key-Claims Adjudication</v>
      </c>
      <c r="K42" s="6" t="str">
        <f>IFERROR(IF(tblInputSheet[[#This Row],[Consumer]] = "-", "", VLOOKUP(tblInputSheet[[#This Row],[Consumer]], tblParticipants[], 2,FALSE)), "")</f>
        <v>PP001</v>
      </c>
      <c r="L42" s="6" t="str">
        <f>IFERROR(IF(tblInputSheet[[#This Row],[Consumer]] = "-", "", VLOOKUP(tblInputSheet[[#This Row],[Consumer]], tblParticipants[], 1,FALSE)), "")</f>
        <v>Key-Claims Adjudication</v>
      </c>
      <c r="M42" s="6" t="str">
        <f>IFERROR(IF(tblInputSheet[[#This Row],[Integration Pattern]] = "-", "", VLOOKUP(tblInputSheet[[#This Row],[Integration Pattern]], tblIntegrationPartten[], 2,FALSE)), "")</f>
        <v>IP001</v>
      </c>
      <c r="N42" s="6" t="str">
        <f>IFERROR(IF(tblInputSheet[[#This Row],[Integration Pattern]] = "-", "", VLOOKUP(tblInputSheet[[#This Row],[Integration Pattern]], tblIntegrationPartten[], 1,FALSE)), "")</f>
        <v>PCF Internal (C-to-C)</v>
      </c>
      <c r="O42" s="6" t="str">
        <f>tblDisplaySheet[[#This Row],[Current State]]</f>
        <v>Y</v>
      </c>
      <c r="P42" s="6" t="str">
        <f>tblDisplaySheet[[#This Row],[Confidence Factor]]</f>
        <v>Medium</v>
      </c>
      <c r="Q42" s="6">
        <f>tblDisplaySheet[[#This Row],[Count of Invocations]]</f>
        <v>1</v>
      </c>
      <c r="R42" s="6">
        <f>tblDisplaySheet[[#This Row],[DB Calls (ms)]]</f>
        <v>1</v>
      </c>
      <c r="S42" s="6">
        <f>tblDisplaySheet[[#This Row],[Logic (ms)]]</f>
        <v>40</v>
      </c>
      <c r="T42" s="6">
        <f>tblDisplaySheet[[#This Row],[Rules (ms)]]</f>
        <v>0</v>
      </c>
      <c r="U42" s="6">
        <f>tblDisplaySheet[[#This Row],[Latency (ms)]]</f>
        <v>5</v>
      </c>
      <c r="V42" s="6">
        <f>tblDisplaySheet[[#This Row],[Total Process Path Length]]</f>
        <v>46</v>
      </c>
      <c r="W42" s="6">
        <f>tblDisplaySheet[[#This Row],[Total Process Time]]</f>
        <v>46</v>
      </c>
      <c r="X42" s="6">
        <f>tblDisplaySheet[[#This Row],[Total Process Path Length]]</f>
        <v>46</v>
      </c>
      <c r="Y42" s="6">
        <f>tblDisplaySheet[[#This Row],[Process NFR]]</f>
        <v>50</v>
      </c>
      <c r="Z42" s="6">
        <f>tblDisplaySheet[[#This Row],[Total Process NFR]]</f>
        <v>50</v>
      </c>
      <c r="AA42" s="6">
        <f>tblDisplaySheet[[#This Row],[Total Process Path Length NFR]]</f>
        <v>50</v>
      </c>
      <c r="AB42" s="6" t="str">
        <f>tblDisplaySheet[[#This Row],[Status]]</f>
        <v>On Target</v>
      </c>
      <c r="AC42" s="6" t="str">
        <f>tblDisplaySheet[[#This Row],[Status]]</f>
        <v>On Target</v>
      </c>
      <c r="AD42" s="6" t="str">
        <f>tblDisplaySheet[[#This Row],[Is Leaf?]]</f>
        <v>N</v>
      </c>
      <c r="AE42" s="6" t="str">
        <f>tblDisplaySheet[[#This Row],[Owner]]</f>
        <v>Sankar</v>
      </c>
    </row>
    <row r="43" spans="1:31" x14ac:dyDescent="0.25">
      <c r="A43" s="6">
        <f>tblDisplaySheet[[#This Row],[Link]]</f>
        <v>39</v>
      </c>
      <c r="B43" s="6">
        <f>tblDisplaySheet[[#This Row],[Level]]</f>
        <v>10</v>
      </c>
      <c r="C43" s="6">
        <f>tblDisplaySheet[[#This Row],[Sl.No]]</f>
        <v>41</v>
      </c>
      <c r="D43" s="6" t="str">
        <f>tblDisplaySheet[[#This Row],[Group]]</f>
        <v>Service Level - BD</v>
      </c>
      <c r="E43" s="6" t="str">
        <f>TEXT(tblInputSheet[[#This Row],[Sl.No]], "000")&amp; ":"&amp; tblInputSheet[[#This Row],[Process]]</f>
        <v>041:Premier Bits API</v>
      </c>
      <c r="F43" s="6" t="str">
        <f>IFERROR(IF(tblInputSheet[[#This Row],[Process]] = "", "", REPT("*",Demo!$A43)&amp;""&amp;tblInputSheet[[#This Row],[Process]]), "")</f>
        <v>**********Premier Bits API</v>
      </c>
      <c r="G43" s="6" t="str">
        <f>IFERROR(IF(tblInputSheet[[#This Row],[Hosted Platform]] = "-", "", VLOOKUP(tblInputSheet[[#This Row],[Hosted Platform]], tblHosted_PlatformOwner[], 2,FALSE)), "")</f>
        <v>CC007</v>
      </c>
      <c r="H43" s="6" t="str">
        <f>IFERROR(IF(tblInputSheet[[#This Row],[Hosted Platform]] = "-", "", VLOOKUP(tblInputSheet[[#This Row],[Hosted Platform]], tblHosted_PlatformOwner[], 1,FALSE)), "")</f>
        <v>Cross-Portfolio</v>
      </c>
      <c r="I43" s="6" t="str">
        <f>IFERROR(IF(tblInputSheet[[#This Row],[Provider]] = "-", "", VLOOKUP(tblInputSheet[[#This Row],[Provider]], tblParticipants[], 2,FALSE)), "")</f>
        <v>PP010</v>
      </c>
      <c r="J43" s="6" t="str">
        <f>IFERROR(IF(tblInputSheet[[#This Row],[Provider]] = "-", "", VLOOKUP(tblInputSheet[[#This Row],[Provider]], tblParticipants[], 1,FALSE)), "")</f>
        <v>Provider</v>
      </c>
      <c r="K43" s="6" t="str">
        <f>IFERROR(IF(tblInputSheet[[#This Row],[Consumer]] = "-", "", VLOOKUP(tblInputSheet[[#This Row],[Consumer]], tblParticipants[], 2,FALSE)), "")</f>
        <v>PP001</v>
      </c>
      <c r="L43" s="6" t="str">
        <f>IFERROR(IF(tblInputSheet[[#This Row],[Consumer]] = "-", "", VLOOKUP(tblInputSheet[[#This Row],[Consumer]], tblParticipants[], 1,FALSE)), "")</f>
        <v>Key-Claims Adjudication</v>
      </c>
      <c r="M43" s="6" t="str">
        <f>IFERROR(IF(tblInputSheet[[#This Row],[Integration Pattern]] = "-", "", VLOOKUP(tblInputSheet[[#This Row],[Integration Pattern]], tblIntegrationPartten[], 2,FALSE)), "")</f>
        <v>IP007</v>
      </c>
      <c r="N43" s="6" t="str">
        <f>IFERROR(IF(tblInputSheet[[#This Row],[Integration Pattern]] = "-", "", VLOOKUP(tblInputSheet[[#This Row],[Integration Pattern]], tblIntegrationPartten[], 1,FALSE)), "")</f>
        <v>REST Service - API</v>
      </c>
      <c r="O43" s="6" t="str">
        <f>tblDisplaySheet[[#This Row],[Current State]]</f>
        <v>Y</v>
      </c>
      <c r="P43" s="6" t="str">
        <f>tblDisplaySheet[[#This Row],[Confidence Factor]]</f>
        <v>Medium</v>
      </c>
      <c r="Q43" s="6">
        <f>tblDisplaySheet[[#This Row],[Count of Invocations]]</f>
        <v>1</v>
      </c>
      <c r="R43" s="6">
        <f>tblDisplaySheet[[#This Row],[DB Calls (ms)]]</f>
        <v>1</v>
      </c>
      <c r="S43" s="6">
        <f>tblDisplaySheet[[#This Row],[Logic (ms)]]</f>
        <v>1</v>
      </c>
      <c r="T43" s="6">
        <f>tblDisplaySheet[[#This Row],[Rules (ms)]]</f>
        <v>0</v>
      </c>
      <c r="U43" s="6">
        <f>tblDisplaySheet[[#This Row],[Latency (ms)]]</f>
        <v>15</v>
      </c>
      <c r="V43" s="6">
        <f>tblDisplaySheet[[#This Row],[Total Process Path Length]]</f>
        <v>17</v>
      </c>
      <c r="W43" s="6">
        <f>tblDisplaySheet[[#This Row],[Total Process Time]]</f>
        <v>17</v>
      </c>
      <c r="X43" s="6">
        <f>tblDisplaySheet[[#This Row],[Total Process Path Length]]</f>
        <v>17</v>
      </c>
      <c r="Y43" s="6">
        <f>tblDisplaySheet[[#This Row],[Process NFR]]</f>
        <v>30</v>
      </c>
      <c r="Z43" s="6">
        <f>tblDisplaySheet[[#This Row],[Total Process NFR]]</f>
        <v>30</v>
      </c>
      <c r="AA43" s="6">
        <f>tblDisplaySheet[[#This Row],[Total Process Path Length NFR]]</f>
        <v>30</v>
      </c>
      <c r="AB43" s="6" t="str">
        <f>tblDisplaySheet[[#This Row],[Status]]</f>
        <v>On Target</v>
      </c>
      <c r="AC43" s="6" t="str">
        <f>tblDisplaySheet[[#This Row],[Status]]</f>
        <v>On Target</v>
      </c>
      <c r="AD43" s="6" t="str">
        <f>tblDisplaySheet[[#This Row],[Is Leaf?]]</f>
        <v>Y</v>
      </c>
      <c r="AE43" s="6" t="str">
        <f>tblDisplaySheet[[#This Row],[Owner]]</f>
        <v>Sankar</v>
      </c>
    </row>
    <row r="44" spans="1:31" x14ac:dyDescent="0.25">
      <c r="A44" s="6">
        <f>tblDisplaySheet[[#This Row],[Link]]</f>
        <v>39</v>
      </c>
      <c r="B44" s="6">
        <f>tblDisplaySheet[[#This Row],[Level]]</f>
        <v>10</v>
      </c>
      <c r="C44" s="6">
        <f>tblDisplaySheet[[#This Row],[Sl.No]]</f>
        <v>42</v>
      </c>
      <c r="D44" s="6" t="str">
        <f>tblDisplaySheet[[#This Row],[Group]]</f>
        <v>Service Level - BD</v>
      </c>
      <c r="E44" s="6" t="str">
        <f>TEXT(tblInputSheet[[#This Row],[Sl.No]], "000")&amp; ":"&amp; tblInputSheet[[#This Row],[Process]]</f>
        <v>042:Service Category to Benefit Provision</v>
      </c>
      <c r="F44" s="6" t="str">
        <f>IFERROR(IF(tblInputSheet[[#This Row],[Process]] = "", "", REPT("*",Demo!$A44)&amp;""&amp;tblInputSheet[[#This Row],[Process]]), "")</f>
        <v>**********Service Category to Benefit Provision</v>
      </c>
      <c r="G44" s="6" t="str">
        <f>IFERROR(IF(tblInputSheet[[#This Row],[Hosted Platform]] = "-", "", VLOOKUP(tblInputSheet[[#This Row],[Hosted Platform]], tblHosted_PlatformOwner[], 2,FALSE)), "")</f>
        <v>CC001</v>
      </c>
      <c r="H44" s="6" t="str">
        <f>IFERROR(IF(tblInputSheet[[#This Row],[Hosted Platform]] = "-", "", VLOOKUP(tblInputSheet[[#This Row],[Hosted Platform]], tblHosted_PlatformOwner[], 1,FALSE)), "")</f>
        <v>PCF</v>
      </c>
      <c r="I44" s="6" t="str">
        <f>IFERROR(IF(tblInputSheet[[#This Row],[Provider]] = "-", "", VLOOKUP(tblInputSheet[[#This Row],[Provider]], tblParticipants[], 2,FALSE)), "")</f>
        <v>PP001</v>
      </c>
      <c r="J44" s="6" t="str">
        <f>IFERROR(IF(tblInputSheet[[#This Row],[Provider]] = "-", "", VLOOKUP(tblInputSheet[[#This Row],[Provider]], tblParticipants[], 1,FALSE)), "")</f>
        <v>Key-Claims Adjudication</v>
      </c>
      <c r="K44" s="6" t="str">
        <f>IFERROR(IF(tblInputSheet[[#This Row],[Consumer]] = "-", "", VLOOKUP(tblInputSheet[[#This Row],[Consumer]], tblParticipants[], 2,FALSE)), "")</f>
        <v>PP001</v>
      </c>
      <c r="L44" s="6" t="str">
        <f>IFERROR(IF(tblInputSheet[[#This Row],[Consumer]] = "-", "", VLOOKUP(tblInputSheet[[#This Row],[Consumer]], tblParticipants[], 1,FALSE)), "")</f>
        <v>Key-Claims Adjudication</v>
      </c>
      <c r="M44" s="6" t="str">
        <f>IFERROR(IF(tblInputSheet[[#This Row],[Integration Pattern]] = "-", "", VLOOKUP(tblInputSheet[[#This Row],[Integration Pattern]], tblIntegrationPartten[], 2,FALSE)), "")</f>
        <v>IP001</v>
      </c>
      <c r="N44" s="6" t="str">
        <f>IFERROR(IF(tblInputSheet[[#This Row],[Integration Pattern]] = "-", "", VLOOKUP(tblInputSheet[[#This Row],[Integration Pattern]], tblIntegrationPartten[], 1,FALSE)), "")</f>
        <v>PCF Internal (C-to-C)</v>
      </c>
      <c r="O44" s="6" t="str">
        <f>tblDisplaySheet[[#This Row],[Current State]]</f>
        <v>Y</v>
      </c>
      <c r="P44" s="6" t="str">
        <f>tblDisplaySheet[[#This Row],[Confidence Factor]]</f>
        <v>Medium</v>
      </c>
      <c r="Q44" s="6">
        <f>tblDisplaySheet[[#This Row],[Count of Invocations]]</f>
        <v>1</v>
      </c>
      <c r="R44" s="6">
        <f>tblDisplaySheet[[#This Row],[DB Calls (ms)]]</f>
        <v>1</v>
      </c>
      <c r="S44" s="6">
        <f>tblDisplaySheet[[#This Row],[Logic (ms)]]</f>
        <v>10</v>
      </c>
      <c r="T44" s="6">
        <f>tblDisplaySheet[[#This Row],[Rules (ms)]]</f>
        <v>0</v>
      </c>
      <c r="U44" s="6">
        <f>tblDisplaySheet[[#This Row],[Latency (ms)]]</f>
        <v>10</v>
      </c>
      <c r="V44" s="6">
        <f>tblDisplaySheet[[#This Row],[Total Process Path Length]]</f>
        <v>21</v>
      </c>
      <c r="W44" s="6">
        <f>tblDisplaySheet[[#This Row],[Total Process Time]]</f>
        <v>21</v>
      </c>
      <c r="X44" s="6">
        <f>tblDisplaySheet[[#This Row],[Total Process Path Length]]</f>
        <v>21</v>
      </c>
      <c r="Y44" s="6">
        <f>tblDisplaySheet[[#This Row],[Process NFR]]</f>
        <v>30</v>
      </c>
      <c r="Z44" s="6">
        <f>tblDisplaySheet[[#This Row],[Total Process NFR]]</f>
        <v>30</v>
      </c>
      <c r="AA44" s="6">
        <f>tblDisplaySheet[[#This Row],[Total Process Path Length NFR]]</f>
        <v>30</v>
      </c>
      <c r="AB44" s="6" t="str">
        <f>tblDisplaySheet[[#This Row],[Status]]</f>
        <v>On Target</v>
      </c>
      <c r="AC44" s="6" t="str">
        <f>tblDisplaySheet[[#This Row],[Status]]</f>
        <v>On Target</v>
      </c>
      <c r="AD44" s="6" t="str">
        <f>tblDisplaySheet[[#This Row],[Is Leaf?]]</f>
        <v>Y</v>
      </c>
      <c r="AE44" s="6" t="str">
        <f>tblDisplaySheet[[#This Row],[Owner]]</f>
        <v>Sankar</v>
      </c>
    </row>
    <row r="45" spans="1:31" x14ac:dyDescent="0.25">
      <c r="A45" s="6">
        <f>tblDisplaySheet[[#This Row],[Link]]</f>
        <v>39</v>
      </c>
      <c r="B45" s="6">
        <f>tblDisplaySheet[[#This Row],[Level]]</f>
        <v>10</v>
      </c>
      <c r="C45" s="6">
        <f>tblDisplaySheet[[#This Row],[Sl.No]]</f>
        <v>43</v>
      </c>
      <c r="D45" s="6" t="str">
        <f>tblDisplaySheet[[#This Row],[Group]]</f>
        <v>Service Level - BD</v>
      </c>
      <c r="E45" s="6" t="str">
        <f>TEXT(tblInputSheet[[#This Row],[Sl.No]], "000")&amp; ":"&amp; tblInputSheet[[#This Row],[Process]]</f>
        <v>043:PNDS Service</v>
      </c>
      <c r="F45" s="6" t="str">
        <f>IFERROR(IF(tblInputSheet[[#This Row],[Process]] = "", "", REPT("*",Demo!$A45)&amp;""&amp;tblInputSheet[[#This Row],[Process]]), "")</f>
        <v>**********PNDS Service</v>
      </c>
      <c r="G45" s="6" t="str">
        <f>IFERROR(IF(tblInputSheet[[#This Row],[Hosted Platform]] = "-", "", VLOOKUP(tblInputSheet[[#This Row],[Hosted Platform]], tblHosted_PlatformOwner[], 2,FALSE)), "")</f>
        <v>CC001</v>
      </c>
      <c r="H45" s="6" t="str">
        <f>IFERROR(IF(tblInputSheet[[#This Row],[Hosted Platform]] = "-", "", VLOOKUP(tblInputSheet[[#This Row],[Hosted Platform]], tblHosted_PlatformOwner[], 1,FALSE)), "")</f>
        <v>PCF</v>
      </c>
      <c r="I45" s="6" t="str">
        <f>IFERROR(IF(tblInputSheet[[#This Row],[Provider]] = "-", "", VLOOKUP(tblInputSheet[[#This Row],[Provider]], tblParticipants[], 2,FALSE)), "")</f>
        <v>PP001</v>
      </c>
      <c r="J45" s="6" t="str">
        <f>IFERROR(IF(tblInputSheet[[#This Row],[Provider]] = "-", "", VLOOKUP(tblInputSheet[[#This Row],[Provider]], tblParticipants[], 1,FALSE)), "")</f>
        <v>Key-Claims Adjudication</v>
      </c>
      <c r="K45" s="6" t="str">
        <f>IFERROR(IF(tblInputSheet[[#This Row],[Consumer]] = "-", "", VLOOKUP(tblInputSheet[[#This Row],[Consumer]], tblParticipants[], 2,FALSE)), "")</f>
        <v>PP001</v>
      </c>
      <c r="L45" s="6" t="str">
        <f>IFERROR(IF(tblInputSheet[[#This Row],[Consumer]] = "-", "", VLOOKUP(tblInputSheet[[#This Row],[Consumer]], tblParticipants[], 1,FALSE)), "")</f>
        <v>Key-Claims Adjudication</v>
      </c>
      <c r="M45" s="6" t="str">
        <f>IFERROR(IF(tblInputSheet[[#This Row],[Integration Pattern]] = "-", "", VLOOKUP(tblInputSheet[[#This Row],[Integration Pattern]], tblIntegrationPartten[], 2,FALSE)), "")</f>
        <v>IP001</v>
      </c>
      <c r="N45" s="6" t="str">
        <f>IFERROR(IF(tblInputSheet[[#This Row],[Integration Pattern]] = "-", "", VLOOKUP(tblInputSheet[[#This Row],[Integration Pattern]], tblIntegrationPartten[], 1,FALSE)), "")</f>
        <v>PCF Internal (C-to-C)</v>
      </c>
      <c r="O45" s="6" t="str">
        <f>tblDisplaySheet[[#This Row],[Current State]]</f>
        <v>Y</v>
      </c>
      <c r="P45" s="6" t="str">
        <f>tblDisplaySheet[[#This Row],[Confidence Factor]]</f>
        <v>Medium</v>
      </c>
      <c r="Q45" s="6">
        <f>tblDisplaySheet[[#This Row],[Count of Invocations]]</f>
        <v>1</v>
      </c>
      <c r="R45" s="6">
        <f>tblDisplaySheet[[#This Row],[DB Calls (ms)]]</f>
        <v>0</v>
      </c>
      <c r="S45" s="6">
        <f>tblDisplaySheet[[#This Row],[Logic (ms)]]</f>
        <v>20</v>
      </c>
      <c r="T45" s="6">
        <f>tblDisplaySheet[[#This Row],[Rules (ms)]]</f>
        <v>0</v>
      </c>
      <c r="U45" s="6">
        <f>tblDisplaySheet[[#This Row],[Latency (ms)]]</f>
        <v>5</v>
      </c>
      <c r="V45" s="6">
        <f>tblDisplaySheet[[#This Row],[Total Process Path Length]]</f>
        <v>25</v>
      </c>
      <c r="W45" s="6">
        <f>tblDisplaySheet[[#This Row],[Total Process Time]]</f>
        <v>25</v>
      </c>
      <c r="X45" s="6">
        <f>tblDisplaySheet[[#This Row],[Total Process Path Length]]</f>
        <v>25</v>
      </c>
      <c r="Y45" s="6">
        <f>tblDisplaySheet[[#This Row],[Process NFR]]</f>
        <v>30</v>
      </c>
      <c r="Z45" s="6">
        <f>tblDisplaySheet[[#This Row],[Total Process NFR]]</f>
        <v>30</v>
      </c>
      <c r="AA45" s="6">
        <f>tblDisplaySheet[[#This Row],[Total Process Path Length NFR]]</f>
        <v>30</v>
      </c>
      <c r="AB45" s="6" t="str">
        <f>tblDisplaySheet[[#This Row],[Status]]</f>
        <v>On Target</v>
      </c>
      <c r="AC45" s="6" t="str">
        <f>tblDisplaySheet[[#This Row],[Status]]</f>
        <v>On Target</v>
      </c>
      <c r="AD45" s="6" t="str">
        <f>tblDisplaySheet[[#This Row],[Is Leaf?]]</f>
        <v>Y</v>
      </c>
      <c r="AE45" s="6" t="str">
        <f>tblDisplaySheet[[#This Row],[Owner]]</f>
        <v>Sankar</v>
      </c>
    </row>
    <row r="46" spans="1:31" x14ac:dyDescent="0.25">
      <c r="A46" s="6">
        <f>tblDisplaySheet[[#This Row],[Link]]</f>
        <v>24</v>
      </c>
      <c r="B46" s="6">
        <f>tblDisplaySheet[[#This Row],[Level]]</f>
        <v>7</v>
      </c>
      <c r="C46" s="6">
        <f>tblDisplaySheet[[#This Row],[Sl.No]]</f>
        <v>44</v>
      </c>
      <c r="D46" s="6" t="str">
        <f>tblDisplaySheet[[#This Row],[Group]]</f>
        <v>Service Level - Medicare</v>
      </c>
      <c r="E46" s="6" t="str">
        <f>TEXT(tblInputSheet[[#This Row],[Sl.No]], "000")&amp; ":"&amp; tblInputSheet[[#This Row],[Process]]</f>
        <v>044:Medicare</v>
      </c>
      <c r="F46" s="6" t="str">
        <f>IFERROR(IF(tblInputSheet[[#This Row],[Process]] = "", "", REPT("*",Demo!$A46)&amp;""&amp;tblInputSheet[[#This Row],[Process]]), "")</f>
        <v>*******Medicare</v>
      </c>
      <c r="G46" s="6" t="str">
        <f>IFERROR(IF(tblInputSheet[[#This Row],[Hosted Platform]] = "-", "", VLOOKUP(tblInputSheet[[#This Row],[Hosted Platform]], tblHosted_PlatformOwner[], 2,FALSE)), "")</f>
        <v>CC000</v>
      </c>
      <c r="H46" s="6" t="str">
        <f>IFERROR(IF(tblInputSheet[[#This Row],[Hosted Platform]] = "-", "", VLOOKUP(tblInputSheet[[#This Row],[Hosted Platform]], tblHosted_PlatformOwner[], 1,FALSE)), "")</f>
        <v>Business Process</v>
      </c>
      <c r="I46" s="6" t="str">
        <f>IFERROR(IF(tblInputSheet[[#This Row],[Provider]] = "-", "", VLOOKUP(tblInputSheet[[#This Row],[Provider]], tblParticipants[], 2,FALSE)), "")</f>
        <v>PP000</v>
      </c>
      <c r="J46" s="6" t="str">
        <f>IFERROR(IF(tblInputSheet[[#This Row],[Provider]] = "-", "", VLOOKUP(tblInputSheet[[#This Row],[Provider]], tblParticipants[], 1,FALSE)), "")</f>
        <v>NA</v>
      </c>
      <c r="K46" s="6" t="str">
        <f>IFERROR(IF(tblInputSheet[[#This Row],[Consumer]] = "-", "", VLOOKUP(tblInputSheet[[#This Row],[Consumer]], tblParticipants[], 2,FALSE)), "")</f>
        <v>PP000</v>
      </c>
      <c r="L46" s="6" t="str">
        <f>IFERROR(IF(tblInputSheet[[#This Row],[Consumer]] = "-", "", VLOOKUP(tblInputSheet[[#This Row],[Consumer]], tblParticipants[], 1,FALSE)), "")</f>
        <v>NA</v>
      </c>
      <c r="M46" s="6" t="str">
        <f>IFERROR(IF(tblInputSheet[[#This Row],[Integration Pattern]] = "-", "", VLOOKUP(tblInputSheet[[#This Row],[Integration Pattern]], tblIntegrationPartten[], 2,FALSE)), "")</f>
        <v>IP000</v>
      </c>
      <c r="N46" s="6" t="str">
        <f>IFERROR(IF(tblInputSheet[[#This Row],[Integration Pattern]] = "-", "", VLOOKUP(tblInputSheet[[#This Row],[Integration Pattern]], tblIntegrationPartten[], 1,FALSE)), "")</f>
        <v>Group</v>
      </c>
      <c r="O46" s="6" t="str">
        <f>tblDisplaySheet[[#This Row],[Current State]]</f>
        <v>Y</v>
      </c>
      <c r="P46" s="6" t="str">
        <f>tblDisplaySheet[[#This Row],[Confidence Factor]]</f>
        <v>Medium</v>
      </c>
      <c r="Q46" s="6">
        <f>tblDisplaySheet[[#This Row],[Count of Invocations]]</f>
        <v>1</v>
      </c>
      <c r="R46" s="6">
        <f>tblDisplaySheet[[#This Row],[DB Calls (ms)]]</f>
        <v>0</v>
      </c>
      <c r="S46" s="6">
        <f>tblDisplaySheet[[#This Row],[Logic (ms)]]</f>
        <v>0</v>
      </c>
      <c r="T46" s="6">
        <f>tblDisplaySheet[[#This Row],[Rules (ms)]]</f>
        <v>0</v>
      </c>
      <c r="U46" s="6">
        <f>tblDisplaySheet[[#This Row],[Latency (ms)]]</f>
        <v>0</v>
      </c>
      <c r="V46" s="6">
        <f>tblDisplaySheet[[#This Row],[Total Process Path Length]]</f>
        <v>166</v>
      </c>
      <c r="W46" s="6">
        <f>tblDisplaySheet[[#This Row],[Total Process Time]]</f>
        <v>0</v>
      </c>
      <c r="X46" s="6">
        <f>tblDisplaySheet[[#This Row],[Total Process Path Length]]</f>
        <v>166</v>
      </c>
      <c r="Y46" s="6">
        <f>tblDisplaySheet[[#This Row],[Process NFR]]</f>
        <v>0</v>
      </c>
      <c r="Z46" s="6">
        <f>tblDisplaySheet[[#This Row],[Total Process NFR]]</f>
        <v>0</v>
      </c>
      <c r="AA46" s="6">
        <f>tblDisplaySheet[[#This Row],[Total Process Path Length NFR]]</f>
        <v>166</v>
      </c>
      <c r="AB46" s="6" t="str">
        <f>tblDisplaySheet[[#This Row],[Status]]</f>
        <v>On Target</v>
      </c>
      <c r="AC46" s="6" t="str">
        <f>tblDisplaySheet[[#This Row],[Status]]</f>
        <v>On Target</v>
      </c>
      <c r="AD46" s="6" t="str">
        <f>tblDisplaySheet[[#This Row],[Is Leaf?]]</f>
        <v>G</v>
      </c>
      <c r="AE46" s="6" t="str">
        <f>tblDisplaySheet[[#This Row],[Owner]]</f>
        <v>Alak</v>
      </c>
    </row>
    <row r="47" spans="1:31" x14ac:dyDescent="0.25">
      <c r="A47" s="6">
        <f>tblDisplaySheet[[#This Row],[Link]]</f>
        <v>44</v>
      </c>
      <c r="B47" s="6">
        <f>tblDisplaySheet[[#This Row],[Level]]</f>
        <v>8</v>
      </c>
      <c r="C47" s="6">
        <f>tblDisplaySheet[[#This Row],[Sl.No]]</f>
        <v>45</v>
      </c>
      <c r="D47" s="6" t="str">
        <f>tblDisplaySheet[[#This Row],[Group]]</f>
        <v>Service Level - Medicare</v>
      </c>
      <c r="E47" s="6" t="str">
        <f>TEXT(tblInputSheet[[#This Row],[Sl.No]], "000")&amp; ":"&amp; tblInputSheet[[#This Row],[Process]]</f>
        <v>045:Medicare Microservice</v>
      </c>
      <c r="F47" s="6" t="str">
        <f>IFERROR(IF(tblInputSheet[[#This Row],[Process]] = "", "", REPT("*",Demo!$A47)&amp;""&amp;tblInputSheet[[#This Row],[Process]]), "")</f>
        <v>********Medicare Microservice</v>
      </c>
      <c r="G47" s="6" t="str">
        <f>IFERROR(IF(tblInputSheet[[#This Row],[Hosted Platform]] = "-", "", VLOOKUP(tblInputSheet[[#This Row],[Hosted Platform]], tblHosted_PlatformOwner[], 2,FALSE)), "")</f>
        <v>CC001</v>
      </c>
      <c r="H47" s="6" t="str">
        <f>IFERROR(IF(tblInputSheet[[#This Row],[Hosted Platform]] = "-", "", VLOOKUP(tblInputSheet[[#This Row],[Hosted Platform]], tblHosted_PlatformOwner[], 1,FALSE)), "")</f>
        <v>PCF</v>
      </c>
      <c r="I47" s="6" t="str">
        <f>IFERROR(IF(tblInputSheet[[#This Row],[Provider]] = "-", "", VLOOKUP(tblInputSheet[[#This Row],[Provider]], tblParticipants[], 2,FALSE)), "")</f>
        <v>PP001</v>
      </c>
      <c r="J47" s="6" t="str">
        <f>IFERROR(IF(tblInputSheet[[#This Row],[Provider]] = "-", "", VLOOKUP(tblInputSheet[[#This Row],[Provider]], tblParticipants[], 1,FALSE)), "")</f>
        <v>Key-Claims Adjudication</v>
      </c>
      <c r="K47" s="6" t="str">
        <f>IFERROR(IF(tblInputSheet[[#This Row],[Consumer]] = "-", "", VLOOKUP(tblInputSheet[[#This Row],[Consumer]], tblParticipants[], 2,FALSE)), "")</f>
        <v>PP001</v>
      </c>
      <c r="L47" s="6" t="str">
        <f>IFERROR(IF(tblInputSheet[[#This Row],[Consumer]] = "-", "", VLOOKUP(tblInputSheet[[#This Row],[Consumer]], tblParticipants[], 1,FALSE)), "")</f>
        <v>Key-Claims Adjudication</v>
      </c>
      <c r="M47" s="6" t="str">
        <f>IFERROR(IF(tblInputSheet[[#This Row],[Integration Pattern]] = "-", "", VLOOKUP(tblInputSheet[[#This Row],[Integration Pattern]], tblIntegrationPartten[], 2,FALSE)), "")</f>
        <v>IP006</v>
      </c>
      <c r="N47" s="6" t="str">
        <f>IFERROR(IF(tblInputSheet[[#This Row],[Integration Pattern]] = "-", "", VLOOKUP(tblInputSheet[[#This Row],[Integration Pattern]], tblIntegrationPartten[], 1,FALSE)), "")</f>
        <v>REST Service - ESB</v>
      </c>
      <c r="O47" s="6" t="str">
        <f>tblDisplaySheet[[#This Row],[Current State]]</f>
        <v>Y</v>
      </c>
      <c r="P47" s="6" t="str">
        <f>tblDisplaySheet[[#This Row],[Confidence Factor]]</f>
        <v>Medium</v>
      </c>
      <c r="Q47" s="6">
        <f>tblDisplaySheet[[#This Row],[Count of Invocations]]</f>
        <v>1</v>
      </c>
      <c r="R47" s="6">
        <f>tblDisplaySheet[[#This Row],[DB Calls (ms)]]</f>
        <v>0</v>
      </c>
      <c r="S47" s="6">
        <f>tblDisplaySheet[[#This Row],[Logic (ms)]]</f>
        <v>5</v>
      </c>
      <c r="T47" s="6">
        <f>tblDisplaySheet[[#This Row],[Rules (ms)]]</f>
        <v>0</v>
      </c>
      <c r="U47" s="6">
        <f>tblDisplaySheet[[#This Row],[Latency (ms)]]</f>
        <v>15</v>
      </c>
      <c r="V47" s="6">
        <f>tblDisplaySheet[[#This Row],[Total Process Path Length]]</f>
        <v>166</v>
      </c>
      <c r="W47" s="6">
        <f>tblDisplaySheet[[#This Row],[Total Process Time]]</f>
        <v>20</v>
      </c>
      <c r="X47" s="6">
        <f>tblDisplaySheet[[#This Row],[Total Process Path Length]]</f>
        <v>166</v>
      </c>
      <c r="Y47" s="6">
        <f>tblDisplaySheet[[#This Row],[Process NFR]]</f>
        <v>20</v>
      </c>
      <c r="Z47" s="6">
        <f>tblDisplaySheet[[#This Row],[Total Process NFR]]</f>
        <v>20</v>
      </c>
      <c r="AA47" s="6">
        <f>tblDisplaySheet[[#This Row],[Total Process Path Length NFR]]</f>
        <v>166</v>
      </c>
      <c r="AB47" s="6" t="str">
        <f>tblDisplaySheet[[#This Row],[Status]]</f>
        <v>On Target</v>
      </c>
      <c r="AC47" s="6" t="str">
        <f>tblDisplaySheet[[#This Row],[Status]]</f>
        <v>On Target</v>
      </c>
      <c r="AD47" s="6" t="str">
        <f>tblDisplaySheet[[#This Row],[Is Leaf?]]</f>
        <v>N</v>
      </c>
      <c r="AE47" s="6" t="str">
        <f>tblDisplaySheet[[#This Row],[Owner]]</f>
        <v>Sankar</v>
      </c>
    </row>
    <row r="48" spans="1:31" x14ac:dyDescent="0.25">
      <c r="A48" s="6">
        <f>tblDisplaySheet[[#This Row],[Link]]</f>
        <v>45</v>
      </c>
      <c r="B48" s="6">
        <f>tblDisplaySheet[[#This Row],[Level]]</f>
        <v>9</v>
      </c>
      <c r="C48" s="6">
        <f>tblDisplaySheet[[#This Row],[Sl.No]]</f>
        <v>46</v>
      </c>
      <c r="D48" s="6" t="str">
        <f>tblDisplaySheet[[#This Row],[Group]]</f>
        <v>Service Level - Medicare</v>
      </c>
      <c r="E48" s="6" t="str">
        <f>TEXT(tblInputSheet[[#This Row],[Sl.No]], "000")&amp; ":"&amp; tblInputSheet[[#This Row],[Process]]</f>
        <v xml:space="preserve">046:Medicare Mule Adapter </v>
      </c>
      <c r="F48" s="6" t="str">
        <f>IFERROR(IF(tblInputSheet[[#This Row],[Process]] = "", "", REPT("*",Demo!$A48)&amp;""&amp;tblInputSheet[[#This Row],[Process]]), "")</f>
        <v xml:space="preserve">*********Medicare Mule Adapter </v>
      </c>
      <c r="G48" s="6" t="str">
        <f>IFERROR(IF(tblInputSheet[[#This Row],[Hosted Platform]] = "-", "", VLOOKUP(tblInputSheet[[#This Row],[Hosted Platform]], tblHosted_PlatformOwner[], 2,FALSE)), "")</f>
        <v>CC002</v>
      </c>
      <c r="H48" s="6" t="str">
        <f>IFERROR(IF(tblInputSheet[[#This Row],[Hosted Platform]] = "-", "", VLOOKUP(tblInputSheet[[#This Row],[Hosted Platform]], tblHosted_PlatformOwner[], 1,FALSE)), "")</f>
        <v>Mule ESB</v>
      </c>
      <c r="I48" s="6" t="str">
        <f>IFERROR(IF(tblInputSheet[[#This Row],[Provider]] = "-", "", VLOOKUP(tblInputSheet[[#This Row],[Provider]], tblParticipants[], 2,FALSE)), "")</f>
        <v>PP001</v>
      </c>
      <c r="J48" s="6" t="str">
        <f>IFERROR(IF(tblInputSheet[[#This Row],[Provider]] = "-", "", VLOOKUP(tblInputSheet[[#This Row],[Provider]], tblParticipants[], 1,FALSE)), "")</f>
        <v>Key-Claims Adjudication</v>
      </c>
      <c r="K48" s="6" t="str">
        <f>IFERROR(IF(tblInputSheet[[#This Row],[Consumer]] = "-", "", VLOOKUP(tblInputSheet[[#This Row],[Consumer]], tblParticipants[], 2,FALSE)), "")</f>
        <v>PP014</v>
      </c>
      <c r="L48" s="6" t="str">
        <f>IFERROR(IF(tblInputSheet[[#This Row],[Consumer]] = "-", "", VLOOKUP(tblInputSheet[[#This Row],[Consumer]], tblParticipants[], 1,FALSE)), "")</f>
        <v>Other</v>
      </c>
      <c r="M48" s="6" t="str">
        <f>IFERROR(IF(tblInputSheet[[#This Row],[Integration Pattern]] = "-", "", VLOOKUP(tblInputSheet[[#This Row],[Integration Pattern]], tblIntegrationPartten[], 2,FALSE)), "")</f>
        <v>IP004</v>
      </c>
      <c r="N48" s="6" t="str">
        <f>IFERROR(IF(tblInputSheet[[#This Row],[Integration Pattern]] = "-", "", VLOOKUP(tblInputSheet[[#This Row],[Integration Pattern]], tblIntegrationPartten[], 1,FALSE)), "")</f>
        <v>ESB - CTG Integration</v>
      </c>
      <c r="O48" s="6" t="str">
        <f>tblDisplaySheet[[#This Row],[Current State]]</f>
        <v>Y</v>
      </c>
      <c r="P48" s="6" t="str">
        <f>tblDisplaySheet[[#This Row],[Confidence Factor]]</f>
        <v>Low</v>
      </c>
      <c r="Q48" s="6">
        <f>tblDisplaySheet[[#This Row],[Count of Invocations]]</f>
        <v>1</v>
      </c>
      <c r="R48" s="6">
        <f>tblDisplaySheet[[#This Row],[DB Calls (ms)]]</f>
        <v>0</v>
      </c>
      <c r="S48" s="6">
        <f>tblDisplaySheet[[#This Row],[Logic (ms)]]</f>
        <v>55</v>
      </c>
      <c r="T48" s="6">
        <f>tblDisplaySheet[[#This Row],[Rules (ms)]]</f>
        <v>0</v>
      </c>
      <c r="U48" s="6">
        <f>tblDisplaySheet[[#This Row],[Latency (ms)]]</f>
        <v>40</v>
      </c>
      <c r="V48" s="6">
        <f>tblDisplaySheet[[#This Row],[Total Process Path Length]]</f>
        <v>146</v>
      </c>
      <c r="W48" s="6">
        <f>tblDisplaySheet[[#This Row],[Total Process Time]]</f>
        <v>95</v>
      </c>
      <c r="X48" s="6">
        <f>tblDisplaySheet[[#This Row],[Total Process Path Length]]</f>
        <v>146</v>
      </c>
      <c r="Y48" s="6">
        <f>tblDisplaySheet[[#This Row],[Process NFR]]</f>
        <v>95</v>
      </c>
      <c r="Z48" s="6">
        <f>tblDisplaySheet[[#This Row],[Total Process NFR]]</f>
        <v>95</v>
      </c>
      <c r="AA48" s="6">
        <f>tblDisplaySheet[[#This Row],[Total Process Path Length NFR]]</f>
        <v>146</v>
      </c>
      <c r="AB48" s="6" t="str">
        <f>tblDisplaySheet[[#This Row],[Status]]</f>
        <v>On Target</v>
      </c>
      <c r="AC48" s="6" t="str">
        <f>tblDisplaySheet[[#This Row],[Status]]</f>
        <v>On Target</v>
      </c>
      <c r="AD48" s="6" t="str">
        <f>tblDisplaySheet[[#This Row],[Is Leaf?]]</f>
        <v>N</v>
      </c>
      <c r="AE48" s="6" t="str">
        <f>tblDisplaySheet[[#This Row],[Owner]]</f>
        <v>Sankar</v>
      </c>
    </row>
    <row r="49" spans="1:31" x14ac:dyDescent="0.25">
      <c r="A49" s="6">
        <f>tblDisplaySheet[[#This Row],[Link]]</f>
        <v>46</v>
      </c>
      <c r="B49" s="6">
        <f>tblDisplaySheet[[#This Row],[Level]]</f>
        <v>10</v>
      </c>
      <c r="C49" s="6">
        <f>tblDisplaySheet[[#This Row],[Sl.No]]</f>
        <v>47</v>
      </c>
      <c r="D49" s="6" t="str">
        <f>tblDisplaySheet[[#This Row],[Group]]</f>
        <v>Service Level - Medicare</v>
      </c>
      <c r="E49" s="6" t="str">
        <f>TEXT(tblInputSheet[[#This Row],[Sl.No]], "000")&amp; ":"&amp; tblInputSheet[[#This Row],[Process]]</f>
        <v>047:Invoker</v>
      </c>
      <c r="F49" s="6" t="str">
        <f>IFERROR(IF(tblInputSheet[[#This Row],[Process]] = "", "", REPT("*",Demo!$A49)&amp;""&amp;tblInputSheet[[#This Row],[Process]]), "")</f>
        <v>**********Invoker</v>
      </c>
      <c r="G49" s="6" t="str">
        <f>IFERROR(IF(tblInputSheet[[#This Row],[Hosted Platform]] = "-", "", VLOOKUP(tblInputSheet[[#This Row],[Hosted Platform]], tblHosted_PlatformOwner[], 2,FALSE)), "")</f>
        <v>CC004</v>
      </c>
      <c r="H49" s="6" t="str">
        <f>IFERROR(IF(tblInputSheet[[#This Row],[Hosted Platform]] = "-", "", VLOOKUP(tblInputSheet[[#This Row],[Hosted Platform]], tblHosted_PlatformOwner[], 1,FALSE)), "")</f>
        <v>Legacy BC</v>
      </c>
      <c r="I49" s="6" t="str">
        <f>IFERROR(IF(tblInputSheet[[#This Row],[Provider]] = "-", "", VLOOKUP(tblInputSheet[[#This Row],[Provider]], tblParticipants[], 2,FALSE)), "")</f>
        <v>PP004</v>
      </c>
      <c r="J49" s="6" t="str">
        <f>IFERROR(IF(tblInputSheet[[#This Row],[Provider]] = "-", "", VLOOKUP(tblInputSheet[[#This Row],[Provider]], tblParticipants[], 1,FALSE)), "")</f>
        <v>Claims-Legacy</v>
      </c>
      <c r="K49" s="6" t="str">
        <f>IFERROR(IF(tblInputSheet[[#This Row],[Consumer]] = "-", "", VLOOKUP(tblInputSheet[[#This Row],[Consumer]], tblParticipants[], 2,FALSE)), "")</f>
        <v>PP004</v>
      </c>
      <c r="L49" s="6" t="str">
        <f>IFERROR(IF(tblInputSheet[[#This Row],[Consumer]] = "-", "", VLOOKUP(tblInputSheet[[#This Row],[Consumer]], tblParticipants[], 1,FALSE)), "")</f>
        <v>Claims-Legacy</v>
      </c>
      <c r="M49" s="6" t="str">
        <f>IFERROR(IF(tblInputSheet[[#This Row],[Integration Pattern]] = "-", "", VLOOKUP(tblInputSheet[[#This Row],[Integration Pattern]], tblIntegrationPartten[], 2,FALSE)), "")</f>
        <v>IP010</v>
      </c>
      <c r="N49" s="6" t="str">
        <f>IFERROR(IF(tblInputSheet[[#This Row],[Integration Pattern]] = "-", "", VLOOKUP(tblInputSheet[[#This Row],[Integration Pattern]], tblIntegrationPartten[], 1,FALSE)), "")</f>
        <v>BC Internal</v>
      </c>
      <c r="O49" s="6" t="str">
        <f>tblDisplaySheet[[#This Row],[Current State]]</f>
        <v>Y</v>
      </c>
      <c r="P49" s="6" t="str">
        <f>tblDisplaySheet[[#This Row],[Confidence Factor]]</f>
        <v>Medium</v>
      </c>
      <c r="Q49" s="6">
        <f>tblDisplaySheet[[#This Row],[Count of Invocations]]</f>
        <v>1</v>
      </c>
      <c r="R49" s="6">
        <f>tblDisplaySheet[[#This Row],[DB Calls (ms)]]</f>
        <v>0</v>
      </c>
      <c r="S49" s="6">
        <f>tblDisplaySheet[[#This Row],[Logic (ms)]]</f>
        <v>1</v>
      </c>
      <c r="T49" s="6">
        <f>tblDisplaySheet[[#This Row],[Rules (ms)]]</f>
        <v>0</v>
      </c>
      <c r="U49" s="6">
        <f>tblDisplaySheet[[#This Row],[Latency (ms)]]</f>
        <v>0</v>
      </c>
      <c r="V49" s="6">
        <f>tblDisplaySheet[[#This Row],[Total Process Path Length]]</f>
        <v>51</v>
      </c>
      <c r="W49" s="6">
        <f>tblDisplaySheet[[#This Row],[Total Process Time]]</f>
        <v>1</v>
      </c>
      <c r="X49" s="6">
        <f>tblDisplaySheet[[#This Row],[Total Process Path Length]]</f>
        <v>51</v>
      </c>
      <c r="Y49" s="6">
        <f>tblDisplaySheet[[#This Row],[Process NFR]]</f>
        <v>1</v>
      </c>
      <c r="Z49" s="6">
        <f>tblDisplaySheet[[#This Row],[Total Process NFR]]</f>
        <v>1</v>
      </c>
      <c r="AA49" s="6">
        <f>tblDisplaySheet[[#This Row],[Total Process Path Length NFR]]</f>
        <v>51</v>
      </c>
      <c r="AB49" s="6" t="str">
        <f>tblDisplaySheet[[#This Row],[Status]]</f>
        <v>On Target</v>
      </c>
      <c r="AC49" s="6" t="str">
        <f>tblDisplaySheet[[#This Row],[Status]]</f>
        <v>On Target</v>
      </c>
      <c r="AD49" s="6" t="str">
        <f>tblDisplaySheet[[#This Row],[Is Leaf?]]</f>
        <v>N</v>
      </c>
      <c r="AE49" s="6" t="str">
        <f>tblDisplaySheet[[#This Row],[Owner]]</f>
        <v>Sankar</v>
      </c>
    </row>
    <row r="50" spans="1:31" x14ac:dyDescent="0.25">
      <c r="A50" s="6">
        <f>tblDisplaySheet[[#This Row],[Link]]</f>
        <v>47</v>
      </c>
      <c r="B50" s="6">
        <f>tblDisplaySheet[[#This Row],[Level]]</f>
        <v>11</v>
      </c>
      <c r="C50" s="6">
        <f>tblDisplaySheet[[#This Row],[Sl.No]]</f>
        <v>48</v>
      </c>
      <c r="D50" s="6" t="str">
        <f>tblDisplaySheet[[#This Row],[Group]]</f>
        <v>Service Level - Medicare</v>
      </c>
      <c r="E50" s="6" t="str">
        <f>TEXT(tblInputSheet[[#This Row],[Sl.No]], "000")&amp; ":"&amp; tblInputSheet[[#This Row],[Process]]</f>
        <v>048:Medicare Legacy Module</v>
      </c>
      <c r="F50" s="6" t="str">
        <f>IFERROR(IF(tblInputSheet[[#This Row],[Process]] = "", "", REPT("*",Demo!$A50)&amp;""&amp;tblInputSheet[[#This Row],[Process]]), "")</f>
        <v>***********Medicare Legacy Module</v>
      </c>
      <c r="G50" s="6" t="str">
        <f>IFERROR(IF(tblInputSheet[[#This Row],[Hosted Platform]] = "-", "", VLOOKUP(tblInputSheet[[#This Row],[Hosted Platform]], tblHosted_PlatformOwner[], 2,FALSE)), "")</f>
        <v>CC004</v>
      </c>
      <c r="H50" s="6" t="str">
        <f>IFERROR(IF(tblInputSheet[[#This Row],[Hosted Platform]] = "-", "", VLOOKUP(tblInputSheet[[#This Row],[Hosted Platform]], tblHosted_PlatformOwner[], 1,FALSE)), "")</f>
        <v>Legacy BC</v>
      </c>
      <c r="I50" s="6" t="str">
        <f>IFERROR(IF(tblInputSheet[[#This Row],[Provider]] = "-", "", VLOOKUP(tblInputSheet[[#This Row],[Provider]], tblParticipants[], 2,FALSE)), "")</f>
        <v>PP004</v>
      </c>
      <c r="J50" s="6" t="str">
        <f>IFERROR(IF(tblInputSheet[[#This Row],[Provider]] = "-", "", VLOOKUP(tblInputSheet[[#This Row],[Provider]], tblParticipants[], 1,FALSE)), "")</f>
        <v>Claims-Legacy</v>
      </c>
      <c r="K50" s="6" t="str">
        <f>IFERROR(IF(tblInputSheet[[#This Row],[Consumer]] = "-", "", VLOOKUP(tblInputSheet[[#This Row],[Consumer]], tblParticipants[], 2,FALSE)), "")</f>
        <v>PP004</v>
      </c>
      <c r="L50" s="6" t="str">
        <f>IFERROR(IF(tblInputSheet[[#This Row],[Consumer]] = "-", "", VLOOKUP(tblInputSheet[[#This Row],[Consumer]], tblParticipants[], 1,FALSE)), "")</f>
        <v>Claims-Legacy</v>
      </c>
      <c r="M50" s="6" t="str">
        <f>IFERROR(IF(tblInputSheet[[#This Row],[Integration Pattern]] = "-", "", VLOOKUP(tblInputSheet[[#This Row],[Integration Pattern]], tblIntegrationPartten[], 2,FALSE)), "")</f>
        <v>IP010</v>
      </c>
      <c r="N50" s="6" t="str">
        <f>IFERROR(IF(tblInputSheet[[#This Row],[Integration Pattern]] = "-", "", VLOOKUP(tblInputSheet[[#This Row],[Integration Pattern]], tblIntegrationPartten[], 1,FALSE)), "")</f>
        <v>BC Internal</v>
      </c>
      <c r="O50" s="6" t="str">
        <f>tblDisplaySheet[[#This Row],[Current State]]</f>
        <v>Y</v>
      </c>
      <c r="P50" s="6" t="str">
        <f>tblDisplaySheet[[#This Row],[Confidence Factor]]</f>
        <v>Medium</v>
      </c>
      <c r="Q50" s="6">
        <f>tblDisplaySheet[[#This Row],[Count of Invocations]]</f>
        <v>1</v>
      </c>
      <c r="R50" s="6">
        <f>tblDisplaySheet[[#This Row],[DB Calls (ms)]]</f>
        <v>0</v>
      </c>
      <c r="S50" s="6">
        <f>tblDisplaySheet[[#This Row],[Logic (ms)]]</f>
        <v>50</v>
      </c>
      <c r="T50" s="6">
        <f>tblDisplaySheet[[#This Row],[Rules (ms)]]</f>
        <v>0</v>
      </c>
      <c r="U50" s="6">
        <f>tblDisplaySheet[[#This Row],[Latency (ms)]]</f>
        <v>0</v>
      </c>
      <c r="V50" s="6">
        <f>tblDisplaySheet[[#This Row],[Total Process Path Length]]</f>
        <v>50</v>
      </c>
      <c r="W50" s="6">
        <f>tblDisplaySheet[[#This Row],[Total Process Time]]</f>
        <v>50</v>
      </c>
      <c r="X50" s="6">
        <f>tblDisplaySheet[[#This Row],[Total Process Path Length]]</f>
        <v>50</v>
      </c>
      <c r="Y50" s="6">
        <f>tblDisplaySheet[[#This Row],[Process NFR]]</f>
        <v>50</v>
      </c>
      <c r="Z50" s="6">
        <f>tblDisplaySheet[[#This Row],[Total Process NFR]]</f>
        <v>50</v>
      </c>
      <c r="AA50" s="6">
        <f>tblDisplaySheet[[#This Row],[Total Process Path Length NFR]]</f>
        <v>50</v>
      </c>
      <c r="AB50" s="6" t="str">
        <f>tblDisplaySheet[[#This Row],[Status]]</f>
        <v>On Target</v>
      </c>
      <c r="AC50" s="6" t="str">
        <f>tblDisplaySheet[[#This Row],[Status]]</f>
        <v>On Target</v>
      </c>
      <c r="AD50" s="6" t="str">
        <f>tblDisplaySheet[[#This Row],[Is Leaf?]]</f>
        <v>Y</v>
      </c>
      <c r="AE50" s="6" t="str">
        <f>tblDisplaySheet[[#This Row],[Owner]]</f>
        <v>Sankar</v>
      </c>
    </row>
    <row r="51" spans="1:31" x14ac:dyDescent="0.25">
      <c r="A51" s="6">
        <f>tblDisplaySheet[[#This Row],[Link]]</f>
        <v>24</v>
      </c>
      <c r="B51" s="6">
        <f>tblDisplaySheet[[#This Row],[Level]]</f>
        <v>7</v>
      </c>
      <c r="C51" s="6">
        <f>tblDisplaySheet[[#This Row],[Sl.No]]</f>
        <v>49</v>
      </c>
      <c r="D51" s="6" t="str">
        <f>tblDisplaySheet[[#This Row],[Group]]</f>
        <v>Service Level - Pricing Engine</v>
      </c>
      <c r="E51" s="6" t="str">
        <f>TEXT(tblInputSheet[[#This Row],[Sl.No]], "000")&amp; ":"&amp; tblInputSheet[[#This Row],[Process]]</f>
        <v xml:space="preserve">049:Pricing </v>
      </c>
      <c r="F51" s="6" t="str">
        <f>IFERROR(IF(tblInputSheet[[#This Row],[Process]] = "", "", REPT("*",Demo!$A51)&amp;""&amp;tblInputSheet[[#This Row],[Process]]), "")</f>
        <v xml:space="preserve">*******Pricing </v>
      </c>
      <c r="G51" s="6" t="str">
        <f>IFERROR(IF(tblInputSheet[[#This Row],[Hosted Platform]] = "-", "", VLOOKUP(tblInputSheet[[#This Row],[Hosted Platform]], tblHosted_PlatformOwner[], 2,FALSE)), "")</f>
        <v>CC000</v>
      </c>
      <c r="H51" s="6" t="str">
        <f>IFERROR(IF(tblInputSheet[[#This Row],[Hosted Platform]] = "-", "", VLOOKUP(tblInputSheet[[#This Row],[Hosted Platform]], tblHosted_PlatformOwner[], 1,FALSE)), "")</f>
        <v>Business Process</v>
      </c>
      <c r="I51" s="6" t="str">
        <f>IFERROR(IF(tblInputSheet[[#This Row],[Provider]] = "-", "", VLOOKUP(tblInputSheet[[#This Row],[Provider]], tblParticipants[], 2,FALSE)), "")</f>
        <v>PP000</v>
      </c>
      <c r="J51" s="6" t="str">
        <f>IFERROR(IF(tblInputSheet[[#This Row],[Provider]] = "-", "", VLOOKUP(tblInputSheet[[#This Row],[Provider]], tblParticipants[], 1,FALSE)), "")</f>
        <v>NA</v>
      </c>
      <c r="K51" s="6" t="str">
        <f>IFERROR(IF(tblInputSheet[[#This Row],[Consumer]] = "-", "", VLOOKUP(tblInputSheet[[#This Row],[Consumer]], tblParticipants[], 2,FALSE)), "")</f>
        <v>PP000</v>
      </c>
      <c r="L51" s="6" t="str">
        <f>IFERROR(IF(tblInputSheet[[#This Row],[Consumer]] = "-", "", VLOOKUP(tblInputSheet[[#This Row],[Consumer]], tblParticipants[], 1,FALSE)), "")</f>
        <v>NA</v>
      </c>
      <c r="M51" s="6" t="str">
        <f>IFERROR(IF(tblInputSheet[[#This Row],[Integration Pattern]] = "-", "", VLOOKUP(tblInputSheet[[#This Row],[Integration Pattern]], tblIntegrationPartten[], 2,FALSE)), "")</f>
        <v>IP000</v>
      </c>
      <c r="N51" s="6" t="str">
        <f>IFERROR(IF(tblInputSheet[[#This Row],[Integration Pattern]] = "-", "", VLOOKUP(tblInputSheet[[#This Row],[Integration Pattern]], tblIntegrationPartten[], 1,FALSE)), "")</f>
        <v>Group</v>
      </c>
      <c r="O51" s="6" t="str">
        <f>tblDisplaySheet[[#This Row],[Current State]]</f>
        <v>Y</v>
      </c>
      <c r="P51" s="6" t="str">
        <f>tblDisplaySheet[[#This Row],[Confidence Factor]]</f>
        <v>Group</v>
      </c>
      <c r="Q51" s="6">
        <f>tblDisplaySheet[[#This Row],[Count of Invocations]]</f>
        <v>1</v>
      </c>
      <c r="R51" s="6">
        <f>tblDisplaySheet[[#This Row],[DB Calls (ms)]]</f>
        <v>0</v>
      </c>
      <c r="S51" s="6">
        <f>tblDisplaySheet[[#This Row],[Logic (ms)]]</f>
        <v>0</v>
      </c>
      <c r="T51" s="6">
        <f>tblDisplaySheet[[#This Row],[Rules (ms)]]</f>
        <v>0</v>
      </c>
      <c r="U51" s="6">
        <f>tblDisplaySheet[[#This Row],[Latency (ms)]]</f>
        <v>0</v>
      </c>
      <c r="V51" s="6">
        <f>tblDisplaySheet[[#This Row],[Total Process Path Length]]</f>
        <v>2535</v>
      </c>
      <c r="W51" s="6">
        <f>tblDisplaySheet[[#This Row],[Total Process Time]]</f>
        <v>0</v>
      </c>
      <c r="X51" s="6">
        <f>tblDisplaySheet[[#This Row],[Total Process Path Length]]</f>
        <v>2535</v>
      </c>
      <c r="Y51" s="6">
        <f>tblDisplaySheet[[#This Row],[Process NFR]]</f>
        <v>0</v>
      </c>
      <c r="Z51" s="6">
        <f>tblDisplaySheet[[#This Row],[Total Process NFR]]</f>
        <v>0</v>
      </c>
      <c r="AA51" s="6">
        <f>tblDisplaySheet[[#This Row],[Total Process Path Length NFR]]</f>
        <v>2672</v>
      </c>
      <c r="AB51" s="6" t="str">
        <f>tblDisplaySheet[[#This Row],[Status]]</f>
        <v>On Target</v>
      </c>
      <c r="AC51" s="6" t="str">
        <f>tblDisplaySheet[[#This Row],[Status]]</f>
        <v>On Target</v>
      </c>
      <c r="AD51" s="6" t="str">
        <f>tblDisplaySheet[[#This Row],[Is Leaf?]]</f>
        <v>G</v>
      </c>
      <c r="AE51" s="6" t="str">
        <f>tblDisplaySheet[[#This Row],[Owner]]</f>
        <v>Alak</v>
      </c>
    </row>
    <row r="52" spans="1:31" x14ac:dyDescent="0.25">
      <c r="A52" s="6">
        <f>tblDisplaySheet[[#This Row],[Link]]</f>
        <v>49</v>
      </c>
      <c r="B52" s="6">
        <f>tblDisplaySheet[[#This Row],[Level]]</f>
        <v>8</v>
      </c>
      <c r="C52" s="6">
        <f>tblDisplaySheet[[#This Row],[Sl.No]]</f>
        <v>50</v>
      </c>
      <c r="D52" s="6" t="str">
        <f>tblDisplaySheet[[#This Row],[Group]]</f>
        <v>Service Level - Pricing Engine</v>
      </c>
      <c r="E52" s="6" t="str">
        <f>TEXT(tblInputSheet[[#This Row],[Sl.No]], "000")&amp; ":"&amp; tblInputSheet[[#This Row],[Process]]</f>
        <v>050:Pricing Engine Microservice</v>
      </c>
      <c r="F52" s="6" t="str">
        <f>IFERROR(IF(tblInputSheet[[#This Row],[Process]] = "", "", REPT("*",Demo!$A52)&amp;""&amp;tblInputSheet[[#This Row],[Process]]), "")</f>
        <v>********Pricing Engine Microservice</v>
      </c>
      <c r="G52" s="6" t="str">
        <f>IFERROR(IF(tblInputSheet[[#This Row],[Hosted Platform]] = "-", "", VLOOKUP(tblInputSheet[[#This Row],[Hosted Platform]], tblHosted_PlatformOwner[], 2,FALSE)), "")</f>
        <v>CC001</v>
      </c>
      <c r="H52" s="6" t="str">
        <f>IFERROR(IF(tblInputSheet[[#This Row],[Hosted Platform]] = "-", "", VLOOKUP(tblInputSheet[[#This Row],[Hosted Platform]], tblHosted_PlatformOwner[], 1,FALSE)), "")</f>
        <v>PCF</v>
      </c>
      <c r="I52" s="6" t="str">
        <f>IFERROR(IF(tblInputSheet[[#This Row],[Provider]] = "-", "", VLOOKUP(tblInputSheet[[#This Row],[Provider]], tblParticipants[], 2,FALSE)), "")</f>
        <v>PP001</v>
      </c>
      <c r="J52" s="6" t="str">
        <f>IFERROR(IF(tblInputSheet[[#This Row],[Provider]] = "-", "", VLOOKUP(tblInputSheet[[#This Row],[Provider]], tblParticipants[], 1,FALSE)), "")</f>
        <v>Key-Claims Adjudication</v>
      </c>
      <c r="K52" s="6" t="str">
        <f>IFERROR(IF(tblInputSheet[[#This Row],[Consumer]] = "-", "", VLOOKUP(tblInputSheet[[#This Row],[Consumer]], tblParticipants[], 2,FALSE)), "")</f>
        <v>PP001</v>
      </c>
      <c r="L52" s="6" t="str">
        <f>IFERROR(IF(tblInputSheet[[#This Row],[Consumer]] = "-", "", VLOOKUP(tblInputSheet[[#This Row],[Consumer]], tblParticipants[], 1,FALSE)), "")</f>
        <v>Key-Claims Adjudication</v>
      </c>
      <c r="M52" s="6" t="str">
        <f>IFERROR(IF(tblInputSheet[[#This Row],[Integration Pattern]] = "-", "", VLOOKUP(tblInputSheet[[#This Row],[Integration Pattern]], tblIntegrationPartten[], 2,FALSE)), "")</f>
        <v>IP001</v>
      </c>
      <c r="N52" s="6" t="str">
        <f>IFERROR(IF(tblInputSheet[[#This Row],[Integration Pattern]] = "-", "", VLOOKUP(tblInputSheet[[#This Row],[Integration Pattern]], tblIntegrationPartten[], 1,FALSE)), "")</f>
        <v>PCF Internal (C-to-C)</v>
      </c>
      <c r="O52" s="6" t="str">
        <f>tblDisplaySheet[[#This Row],[Current State]]</f>
        <v>Y</v>
      </c>
      <c r="P52" s="6" t="str">
        <f>tblDisplaySheet[[#This Row],[Confidence Factor]]</f>
        <v>Low</v>
      </c>
      <c r="Q52" s="6">
        <f>tblDisplaySheet[[#This Row],[Count of Invocations]]</f>
        <v>1</v>
      </c>
      <c r="R52" s="6">
        <f>tblDisplaySheet[[#This Row],[DB Calls (ms)]]</f>
        <v>0</v>
      </c>
      <c r="S52" s="6">
        <f>tblDisplaySheet[[#This Row],[Logic (ms)]]</f>
        <v>500</v>
      </c>
      <c r="T52" s="6">
        <f>tblDisplaySheet[[#This Row],[Rules (ms)]]</f>
        <v>0</v>
      </c>
      <c r="U52" s="6">
        <f>tblDisplaySheet[[#This Row],[Latency (ms)]]</f>
        <v>5</v>
      </c>
      <c r="V52" s="6">
        <f>tblDisplaySheet[[#This Row],[Total Process Path Length]]</f>
        <v>2535</v>
      </c>
      <c r="W52" s="6">
        <f>tblDisplaySheet[[#This Row],[Total Process Time]]</f>
        <v>505</v>
      </c>
      <c r="X52" s="6">
        <f>tblDisplaySheet[[#This Row],[Total Process Path Length]]</f>
        <v>2535</v>
      </c>
      <c r="Y52" s="6">
        <f>tblDisplaySheet[[#This Row],[Process NFR]]</f>
        <v>500</v>
      </c>
      <c r="Z52" s="6">
        <f>tblDisplaySheet[[#This Row],[Total Process NFR]]</f>
        <v>500</v>
      </c>
      <c r="AA52" s="6">
        <f>tblDisplaySheet[[#This Row],[Total Process Path Length NFR]]</f>
        <v>2672</v>
      </c>
      <c r="AB52" s="6" t="str">
        <f>tblDisplaySheet[[#This Row],[Status]]</f>
        <v>On Target</v>
      </c>
      <c r="AC52" s="6" t="str">
        <f>tblDisplaySheet[[#This Row],[Status]]</f>
        <v>On Target</v>
      </c>
      <c r="AD52" s="6" t="str">
        <f>tblDisplaySheet[[#This Row],[Is Leaf?]]</f>
        <v>N</v>
      </c>
      <c r="AE52" s="6" t="str">
        <f>tblDisplaySheet[[#This Row],[Owner]]</f>
        <v>Alak</v>
      </c>
    </row>
    <row r="53" spans="1:31" x14ac:dyDescent="0.25">
      <c r="A53" s="6">
        <f>tblDisplaySheet[[#This Row],[Link]]</f>
        <v>50</v>
      </c>
      <c r="B53" s="6">
        <f>tblDisplaySheet[[#This Row],[Level]]</f>
        <v>9</v>
      </c>
      <c r="C53" s="6">
        <f>tblDisplaySheet[[#This Row],[Sl.No]]</f>
        <v>51</v>
      </c>
      <c r="D53" s="6" t="str">
        <f>tblDisplaySheet[[#This Row],[Group]]</f>
        <v>Service Level - Pricing Engine</v>
      </c>
      <c r="E53" s="6" t="str">
        <f>TEXT(tblInputSheet[[#This Row],[Sl.No]], "000")&amp; ":"&amp; tblInputSheet[[#This Row],[Process]]</f>
        <v>051:Reference Lookup Microservice</v>
      </c>
      <c r="F53" s="6" t="str">
        <f>IFERROR(IF(tblInputSheet[[#This Row],[Process]] = "", "", REPT("*",Demo!$A53)&amp;""&amp;tblInputSheet[[#This Row],[Process]]), "")</f>
        <v>*********Reference Lookup Microservice</v>
      </c>
      <c r="G53" s="6" t="str">
        <f>IFERROR(IF(tblInputSheet[[#This Row],[Hosted Platform]] = "-", "", VLOOKUP(tblInputSheet[[#This Row],[Hosted Platform]], tblHosted_PlatformOwner[], 2,FALSE)), "")</f>
        <v>CC001</v>
      </c>
      <c r="H53" s="6" t="str">
        <f>IFERROR(IF(tblInputSheet[[#This Row],[Hosted Platform]] = "-", "", VLOOKUP(tblInputSheet[[#This Row],[Hosted Platform]], tblHosted_PlatformOwner[], 1,FALSE)), "")</f>
        <v>PCF</v>
      </c>
      <c r="I53" s="6" t="str">
        <f>IFERROR(IF(tblInputSheet[[#This Row],[Provider]] = "-", "", VLOOKUP(tblInputSheet[[#This Row],[Provider]], tblParticipants[], 2,FALSE)), "")</f>
        <v>PP001</v>
      </c>
      <c r="J53" s="6" t="str">
        <f>IFERROR(IF(tblInputSheet[[#This Row],[Provider]] = "-", "", VLOOKUP(tblInputSheet[[#This Row],[Provider]], tblParticipants[], 1,FALSE)), "")</f>
        <v>Key-Claims Adjudication</v>
      </c>
      <c r="K53" s="6" t="str">
        <f>IFERROR(IF(tblInputSheet[[#This Row],[Consumer]] = "-", "", VLOOKUP(tblInputSheet[[#This Row],[Consumer]], tblParticipants[], 2,FALSE)), "")</f>
        <v>PP001</v>
      </c>
      <c r="L53" s="6" t="str">
        <f>IFERROR(IF(tblInputSheet[[#This Row],[Consumer]] = "-", "", VLOOKUP(tblInputSheet[[#This Row],[Consumer]], tblParticipants[], 1,FALSE)), "")</f>
        <v>Key-Claims Adjudication</v>
      </c>
      <c r="M53" s="6" t="str">
        <f>IFERROR(IF(tblInputSheet[[#This Row],[Integration Pattern]] = "-", "", VLOOKUP(tblInputSheet[[#This Row],[Integration Pattern]], tblIntegrationPartten[], 2,FALSE)), "")</f>
        <v>IP001</v>
      </c>
      <c r="N53" s="6" t="str">
        <f>IFERROR(IF(tblInputSheet[[#This Row],[Integration Pattern]] = "-", "", VLOOKUP(tblInputSheet[[#This Row],[Integration Pattern]], tblIntegrationPartten[], 1,FALSE)), "")</f>
        <v>PCF Internal (C-to-C)</v>
      </c>
      <c r="O53" s="6" t="str">
        <f>tblDisplaySheet[[#This Row],[Current State]]</f>
        <v>Y</v>
      </c>
      <c r="P53" s="6" t="str">
        <f>tblDisplaySheet[[#This Row],[Confidence Factor]]</f>
        <v>Medium</v>
      </c>
      <c r="Q53" s="6">
        <f>tblDisplaySheet[[#This Row],[Count of Invocations]]</f>
        <v>1</v>
      </c>
      <c r="R53" s="6">
        <f>tblDisplaySheet[[#This Row],[DB Calls (ms)]]</f>
        <v>1</v>
      </c>
      <c r="S53" s="6">
        <f>tblDisplaySheet[[#This Row],[Logic (ms)]]</f>
        <v>5</v>
      </c>
      <c r="T53" s="6">
        <f>tblDisplaySheet[[#This Row],[Rules (ms)]]</f>
        <v>0</v>
      </c>
      <c r="U53" s="6">
        <f>tblDisplaySheet[[#This Row],[Latency (ms)]]</f>
        <v>5</v>
      </c>
      <c r="V53" s="6">
        <f>tblDisplaySheet[[#This Row],[Total Process Path Length]]</f>
        <v>11</v>
      </c>
      <c r="W53" s="6">
        <f>tblDisplaySheet[[#This Row],[Total Process Time]]</f>
        <v>11</v>
      </c>
      <c r="X53" s="6">
        <f>tblDisplaySheet[[#This Row],[Total Process Path Length]]</f>
        <v>11</v>
      </c>
      <c r="Y53" s="6">
        <f>tblDisplaySheet[[#This Row],[Process NFR]]</f>
        <v>30</v>
      </c>
      <c r="Z53" s="6">
        <f>tblDisplaySheet[[#This Row],[Total Process NFR]]</f>
        <v>30</v>
      </c>
      <c r="AA53" s="6">
        <f>tblDisplaySheet[[#This Row],[Total Process Path Length NFR]]</f>
        <v>30</v>
      </c>
      <c r="AB53" s="6" t="str">
        <f>tblDisplaySheet[[#This Row],[Status]]</f>
        <v>On Target</v>
      </c>
      <c r="AC53" s="6" t="str">
        <f>tblDisplaySheet[[#This Row],[Status]]</f>
        <v>On Target</v>
      </c>
      <c r="AD53" s="6" t="str">
        <f>tblDisplaySheet[[#This Row],[Is Leaf?]]</f>
        <v>Y</v>
      </c>
      <c r="AE53" s="6" t="str">
        <f>tblDisplaySheet[[#This Row],[Owner]]</f>
        <v>Alak</v>
      </c>
    </row>
    <row r="54" spans="1:31" x14ac:dyDescent="0.25">
      <c r="A54" s="6">
        <f>tblDisplaySheet[[#This Row],[Link]]</f>
        <v>50</v>
      </c>
      <c r="B54" s="6">
        <f>tblDisplaySheet[[#This Row],[Level]]</f>
        <v>9</v>
      </c>
      <c r="C54" s="6">
        <f>tblDisplaySheet[[#This Row],[Sl.No]]</f>
        <v>52</v>
      </c>
      <c r="D54" s="6" t="str">
        <f>tblDisplaySheet[[#This Row],[Group]]</f>
        <v>Service Level - Pricing Engine</v>
      </c>
      <c r="E54" s="6" t="str">
        <f>TEXT(tblInputSheet[[#This Row],[Sl.No]], "000")&amp; ":"&amp; tblInputSheet[[#This Row],[Process]]</f>
        <v>052:Claim Provider Service</v>
      </c>
      <c r="F54" s="6" t="str">
        <f>IFERROR(IF(tblInputSheet[[#This Row],[Process]] = "", "", REPT("*",Demo!$A54)&amp;""&amp;tblInputSheet[[#This Row],[Process]]), "")</f>
        <v>*********Claim Provider Service</v>
      </c>
      <c r="G54" s="6" t="str">
        <f>IFERROR(IF(tblInputSheet[[#This Row],[Hosted Platform]] = "-", "", VLOOKUP(tblInputSheet[[#This Row],[Hosted Platform]], tblHosted_PlatformOwner[], 2,FALSE)), "")</f>
        <v>CC001</v>
      </c>
      <c r="H54" s="6" t="str">
        <f>IFERROR(IF(tblInputSheet[[#This Row],[Hosted Platform]] = "-", "", VLOOKUP(tblInputSheet[[#This Row],[Hosted Platform]], tblHosted_PlatformOwner[], 1,FALSE)), "")</f>
        <v>PCF</v>
      </c>
      <c r="I54" s="6" t="str">
        <f>IFERROR(IF(tblInputSheet[[#This Row],[Provider]] = "-", "", VLOOKUP(tblInputSheet[[#This Row],[Provider]], tblParticipants[], 2,FALSE)), "")</f>
        <v>PP001</v>
      </c>
      <c r="J54" s="6" t="str">
        <f>IFERROR(IF(tblInputSheet[[#This Row],[Provider]] = "-", "", VLOOKUP(tblInputSheet[[#This Row],[Provider]], tblParticipants[], 1,FALSE)), "")</f>
        <v>Key-Claims Adjudication</v>
      </c>
      <c r="K54" s="6" t="str">
        <f>IFERROR(IF(tblInputSheet[[#This Row],[Consumer]] = "-", "", VLOOKUP(tblInputSheet[[#This Row],[Consumer]], tblParticipants[], 2,FALSE)), "")</f>
        <v>PP001</v>
      </c>
      <c r="L54" s="6" t="str">
        <f>IFERROR(IF(tblInputSheet[[#This Row],[Consumer]] = "-", "", VLOOKUP(tblInputSheet[[#This Row],[Consumer]], tblParticipants[], 1,FALSE)), "")</f>
        <v>Key-Claims Adjudication</v>
      </c>
      <c r="M54" s="6" t="str">
        <f>IFERROR(IF(tblInputSheet[[#This Row],[Integration Pattern]] = "-", "", VLOOKUP(tblInputSheet[[#This Row],[Integration Pattern]], tblIntegrationPartten[], 2,FALSE)), "")</f>
        <v>IP001</v>
      </c>
      <c r="N54" s="6" t="str">
        <f>IFERROR(IF(tblInputSheet[[#This Row],[Integration Pattern]] = "-", "", VLOOKUP(tblInputSheet[[#This Row],[Integration Pattern]], tblIntegrationPartten[], 1,FALSE)), "")</f>
        <v>PCF Internal (C-to-C)</v>
      </c>
      <c r="O54" s="6" t="str">
        <f>tblDisplaySheet[[#This Row],[Current State]]</f>
        <v>Y</v>
      </c>
      <c r="P54" s="6" t="str">
        <f>tblDisplaySheet[[#This Row],[Confidence Factor]]</f>
        <v>Medium</v>
      </c>
      <c r="Q54" s="6">
        <f>tblDisplaySheet[[#This Row],[Count of Invocations]]</f>
        <v>1</v>
      </c>
      <c r="R54" s="6">
        <f>tblDisplaySheet[[#This Row],[DB Calls (ms)]]</f>
        <v>1</v>
      </c>
      <c r="S54" s="6">
        <f>tblDisplaySheet[[#This Row],[Logic (ms)]]</f>
        <v>40</v>
      </c>
      <c r="T54" s="6">
        <f>tblDisplaySheet[[#This Row],[Rules (ms)]]</f>
        <v>0</v>
      </c>
      <c r="U54" s="6">
        <f>tblDisplaySheet[[#This Row],[Latency (ms)]]</f>
        <v>15</v>
      </c>
      <c r="V54" s="6">
        <f>tblDisplaySheet[[#This Row],[Total Process Path Length]]</f>
        <v>56</v>
      </c>
      <c r="W54" s="6">
        <f>tblDisplaySheet[[#This Row],[Total Process Time]]</f>
        <v>56</v>
      </c>
      <c r="X54" s="6">
        <f>tblDisplaySheet[[#This Row],[Total Process Path Length]]</f>
        <v>56</v>
      </c>
      <c r="Y54" s="6">
        <f>tblDisplaySheet[[#This Row],[Process NFR]]</f>
        <v>65</v>
      </c>
      <c r="Z54" s="6">
        <f>tblDisplaySheet[[#This Row],[Total Process NFR]]</f>
        <v>65</v>
      </c>
      <c r="AA54" s="6">
        <f>tblDisplaySheet[[#This Row],[Total Process Path Length NFR]]</f>
        <v>65</v>
      </c>
      <c r="AB54" s="6" t="str">
        <f>tblDisplaySheet[[#This Row],[Status]]</f>
        <v>On Target</v>
      </c>
      <c r="AC54" s="6" t="str">
        <f>tblDisplaySheet[[#This Row],[Status]]</f>
        <v>On Target</v>
      </c>
      <c r="AD54" s="6" t="str">
        <f>tblDisplaySheet[[#This Row],[Is Leaf?]]</f>
        <v>Y</v>
      </c>
      <c r="AE54" s="6" t="str">
        <f>tblDisplaySheet[[#This Row],[Owner]]</f>
        <v>Alak</v>
      </c>
    </row>
    <row r="55" spans="1:31" x14ac:dyDescent="0.25">
      <c r="A55" s="6">
        <f>tblDisplaySheet[[#This Row],[Link]]</f>
        <v>50</v>
      </c>
      <c r="B55" s="6">
        <f>tblDisplaySheet[[#This Row],[Level]]</f>
        <v>9</v>
      </c>
      <c r="C55" s="6">
        <f>tblDisplaySheet[[#This Row],[Sl.No]]</f>
        <v>53</v>
      </c>
      <c r="D55" s="6" t="str">
        <f>tblDisplaySheet[[#This Row],[Group]]</f>
        <v>Service Level - Pricing Engine</v>
      </c>
      <c r="E55" s="6" t="str">
        <f>TEXT(tblInputSheet[[#This Row],[Sl.No]], "000")&amp; ":"&amp; tblInputSheet[[#This Row],[Process]]</f>
        <v>053:Contract API</v>
      </c>
      <c r="F55" s="6" t="str">
        <f>IFERROR(IF(tblInputSheet[[#This Row],[Process]] = "", "", REPT("*",Demo!$A55)&amp;""&amp;tblInputSheet[[#This Row],[Process]]), "")</f>
        <v>*********Contract API</v>
      </c>
      <c r="G55" s="6" t="str">
        <f>IFERROR(IF(tblInputSheet[[#This Row],[Hosted Platform]] = "-", "", VLOOKUP(tblInputSheet[[#This Row],[Hosted Platform]], tblHosted_PlatformOwner[], 2,FALSE)), "")</f>
        <v>CC001</v>
      </c>
      <c r="H55" s="6" t="str">
        <f>IFERROR(IF(tblInputSheet[[#This Row],[Hosted Platform]] = "-", "", VLOOKUP(tblInputSheet[[#This Row],[Hosted Platform]], tblHosted_PlatformOwner[], 1,FALSE)), "")</f>
        <v>PCF</v>
      </c>
      <c r="I55" s="6" t="str">
        <f>IFERROR(IF(tblInputSheet[[#This Row],[Provider]] = "-", "", VLOOKUP(tblInputSheet[[#This Row],[Provider]], tblParticipants[], 2,FALSE)), "")</f>
        <v>PP001</v>
      </c>
      <c r="J55" s="6" t="str">
        <f>IFERROR(IF(tblInputSheet[[#This Row],[Provider]] = "-", "", VLOOKUP(tblInputSheet[[#This Row],[Provider]], tblParticipants[], 1,FALSE)), "")</f>
        <v>Key-Claims Adjudication</v>
      </c>
      <c r="K55" s="6" t="str">
        <f>IFERROR(IF(tblInputSheet[[#This Row],[Consumer]] = "-", "", VLOOKUP(tblInputSheet[[#This Row],[Consumer]], tblParticipants[], 2,FALSE)), "")</f>
        <v>PP001</v>
      </c>
      <c r="L55" s="6" t="str">
        <f>IFERROR(IF(tblInputSheet[[#This Row],[Consumer]] = "-", "", VLOOKUP(tblInputSheet[[#This Row],[Consumer]], tblParticipants[], 1,FALSE)), "")</f>
        <v>Key-Claims Adjudication</v>
      </c>
      <c r="M55" s="6" t="str">
        <f>IFERROR(IF(tblInputSheet[[#This Row],[Integration Pattern]] = "-", "", VLOOKUP(tblInputSheet[[#This Row],[Integration Pattern]], tblIntegrationPartten[], 2,FALSE)), "")</f>
        <v>IP001</v>
      </c>
      <c r="N55" s="6" t="str">
        <f>IFERROR(IF(tblInputSheet[[#This Row],[Integration Pattern]] = "-", "", VLOOKUP(tblInputSheet[[#This Row],[Integration Pattern]], tblIntegrationPartten[], 1,FALSE)), "")</f>
        <v>PCF Internal (C-to-C)</v>
      </c>
      <c r="O55" s="6" t="str">
        <f>tblDisplaySheet[[#This Row],[Current State]]</f>
        <v>Y</v>
      </c>
      <c r="P55" s="6" t="str">
        <f>tblDisplaySheet[[#This Row],[Confidence Factor]]</f>
        <v>Medium</v>
      </c>
      <c r="Q55" s="6">
        <f>tblDisplaySheet[[#This Row],[Count of Invocations]]</f>
        <v>1</v>
      </c>
      <c r="R55" s="6">
        <f>tblDisplaySheet[[#This Row],[DB Calls (ms)]]</f>
        <v>5</v>
      </c>
      <c r="S55" s="6">
        <f>tblDisplaySheet[[#This Row],[Logic (ms)]]</f>
        <v>30</v>
      </c>
      <c r="T55" s="6">
        <f>tblDisplaySheet[[#This Row],[Rules (ms)]]</f>
        <v>0</v>
      </c>
      <c r="U55" s="6">
        <f>tblDisplaySheet[[#This Row],[Latency (ms)]]</f>
        <v>10</v>
      </c>
      <c r="V55" s="6">
        <f>tblDisplaySheet[[#This Row],[Total Process Path Length]]</f>
        <v>45</v>
      </c>
      <c r="W55" s="6">
        <f>tblDisplaySheet[[#This Row],[Total Process Time]]</f>
        <v>45</v>
      </c>
      <c r="X55" s="6">
        <f>tblDisplaySheet[[#This Row],[Total Process Path Length]]</f>
        <v>45</v>
      </c>
      <c r="Y55" s="6">
        <f>tblDisplaySheet[[#This Row],[Process NFR]]</f>
        <v>50</v>
      </c>
      <c r="Z55" s="6">
        <f>tblDisplaySheet[[#This Row],[Total Process NFR]]</f>
        <v>50</v>
      </c>
      <c r="AA55" s="6">
        <f>tblDisplaySheet[[#This Row],[Total Process Path Length NFR]]</f>
        <v>50</v>
      </c>
      <c r="AB55" s="6" t="str">
        <f>tblDisplaySheet[[#This Row],[Status]]</f>
        <v>On Target</v>
      </c>
      <c r="AC55" s="6" t="str">
        <f>tblDisplaySheet[[#This Row],[Status]]</f>
        <v>On Target</v>
      </c>
      <c r="AD55" s="6" t="str">
        <f>tblDisplaySheet[[#This Row],[Is Leaf?]]</f>
        <v>Y</v>
      </c>
      <c r="AE55" s="6" t="str">
        <f>tblDisplaySheet[[#This Row],[Owner]]</f>
        <v>Greg</v>
      </c>
    </row>
    <row r="56" spans="1:31" x14ac:dyDescent="0.25">
      <c r="A56" s="6">
        <f>tblDisplaySheet[[#This Row],[Link]]</f>
        <v>50</v>
      </c>
      <c r="B56" s="6">
        <f>tblDisplaySheet[[#This Row],[Level]]</f>
        <v>9</v>
      </c>
      <c r="C56" s="6">
        <f>tblDisplaySheet[[#This Row],[Sl.No]]</f>
        <v>54</v>
      </c>
      <c r="D56" s="6" t="str">
        <f>tblDisplaySheet[[#This Row],[Group]]</f>
        <v>Service Level - Pricing Engine</v>
      </c>
      <c r="E56" s="6" t="str">
        <f>TEXT(tblInputSheet[[#This Row],[Sl.No]], "000")&amp; ":"&amp; tblInputSheet[[#This Row],[Process]]</f>
        <v>054:Claim Pricer Service</v>
      </c>
      <c r="F56" s="6" t="str">
        <f>IFERROR(IF(tblInputSheet[[#This Row],[Process]] = "", "", REPT("*",Demo!$A56)&amp;""&amp;tblInputSheet[[#This Row],[Process]]), "")</f>
        <v>*********Claim Pricer Service</v>
      </c>
      <c r="G56" s="6" t="str">
        <f>IFERROR(IF(tblInputSheet[[#This Row],[Hosted Platform]] = "-", "", VLOOKUP(tblInputSheet[[#This Row],[Hosted Platform]], tblHosted_PlatformOwner[], 2,FALSE)), "")</f>
        <v>CC001</v>
      </c>
      <c r="H56" s="6" t="str">
        <f>IFERROR(IF(tblInputSheet[[#This Row],[Hosted Platform]] = "-", "", VLOOKUP(tblInputSheet[[#This Row],[Hosted Platform]], tblHosted_PlatformOwner[], 1,FALSE)), "")</f>
        <v>PCF</v>
      </c>
      <c r="I56" s="6" t="str">
        <f>IFERROR(IF(tblInputSheet[[#This Row],[Provider]] = "-", "", VLOOKUP(tblInputSheet[[#This Row],[Provider]], tblParticipants[], 2,FALSE)), "")</f>
        <v>PP001</v>
      </c>
      <c r="J56" s="6" t="str">
        <f>IFERROR(IF(tblInputSheet[[#This Row],[Provider]] = "-", "", VLOOKUP(tblInputSheet[[#This Row],[Provider]], tblParticipants[], 1,FALSE)), "")</f>
        <v>Key-Claims Adjudication</v>
      </c>
      <c r="K56" s="6" t="str">
        <f>IFERROR(IF(tblInputSheet[[#This Row],[Consumer]] = "-", "", VLOOKUP(tblInputSheet[[#This Row],[Consumer]], tblParticipants[], 2,FALSE)), "")</f>
        <v>PP001</v>
      </c>
      <c r="L56" s="6" t="str">
        <f>IFERROR(IF(tblInputSheet[[#This Row],[Consumer]] = "-", "", VLOOKUP(tblInputSheet[[#This Row],[Consumer]], tblParticipants[], 1,FALSE)), "")</f>
        <v>Key-Claims Adjudication</v>
      </c>
      <c r="M56" s="6" t="str">
        <f>IFERROR(IF(tblInputSheet[[#This Row],[Integration Pattern]] = "-", "", VLOOKUP(tblInputSheet[[#This Row],[Integration Pattern]], tblIntegrationPartten[], 2,FALSE)), "")</f>
        <v>IP001</v>
      </c>
      <c r="N56" s="6" t="str">
        <f>IFERROR(IF(tblInputSheet[[#This Row],[Integration Pattern]] = "-", "", VLOOKUP(tblInputSheet[[#This Row],[Integration Pattern]], tblIntegrationPartten[], 1,FALSE)), "")</f>
        <v>PCF Internal (C-to-C)</v>
      </c>
      <c r="O56" s="6" t="str">
        <f>tblDisplaySheet[[#This Row],[Current State]]</f>
        <v>Y</v>
      </c>
      <c r="P56" s="6" t="str">
        <f>tblDisplaySheet[[#This Row],[Confidence Factor]]</f>
        <v>Medium</v>
      </c>
      <c r="Q56" s="6">
        <f>tblDisplaySheet[[#This Row],[Count of Invocations]]</f>
        <v>1</v>
      </c>
      <c r="R56" s="6">
        <f>tblDisplaySheet[[#This Row],[DB Calls (ms)]]</f>
        <v>1</v>
      </c>
      <c r="S56" s="6">
        <f>tblDisplaySheet[[#This Row],[Logic (ms)]]</f>
        <v>10</v>
      </c>
      <c r="T56" s="6">
        <f>tblDisplaySheet[[#This Row],[Rules (ms)]]</f>
        <v>0</v>
      </c>
      <c r="U56" s="6">
        <f>tblDisplaySheet[[#This Row],[Latency (ms)]]</f>
        <v>15</v>
      </c>
      <c r="V56" s="6">
        <f>tblDisplaySheet[[#This Row],[Total Process Path Length]]</f>
        <v>61</v>
      </c>
      <c r="W56" s="6">
        <f>tblDisplaySheet[[#This Row],[Total Process Time]]</f>
        <v>26</v>
      </c>
      <c r="X56" s="6">
        <f>tblDisplaySheet[[#This Row],[Total Process Path Length]]</f>
        <v>61</v>
      </c>
      <c r="Y56" s="6">
        <f>tblDisplaySheet[[#This Row],[Process NFR]]</f>
        <v>50</v>
      </c>
      <c r="Z56" s="6">
        <f>tblDisplaySheet[[#This Row],[Total Process NFR]]</f>
        <v>50</v>
      </c>
      <c r="AA56" s="6">
        <f>tblDisplaySheet[[#This Row],[Total Process Path Length NFR]]</f>
        <v>100</v>
      </c>
      <c r="AB56" s="6" t="str">
        <f>tblDisplaySheet[[#This Row],[Status]]</f>
        <v>On Target</v>
      </c>
      <c r="AC56" s="6" t="str">
        <f>tblDisplaySheet[[#This Row],[Status]]</f>
        <v>On Target</v>
      </c>
      <c r="AD56" s="6" t="str">
        <f>tblDisplaySheet[[#This Row],[Is Leaf?]]</f>
        <v>N</v>
      </c>
      <c r="AE56" s="6" t="str">
        <f>tblDisplaySheet[[#This Row],[Owner]]</f>
        <v>Alak</v>
      </c>
    </row>
    <row r="57" spans="1:31" x14ac:dyDescent="0.25">
      <c r="A57" s="6">
        <f>tblDisplaySheet[[#This Row],[Link]]</f>
        <v>54</v>
      </c>
      <c r="B57" s="6">
        <f>tblDisplaySheet[[#This Row],[Level]]</f>
        <v>10</v>
      </c>
      <c r="C57" s="6">
        <f>tblDisplaySheet[[#This Row],[Sl.No]]</f>
        <v>55</v>
      </c>
      <c r="D57" s="6" t="str">
        <f>tblDisplaySheet[[#This Row],[Group]]</f>
        <v>Service Level - Pricing Engine</v>
      </c>
      <c r="E57" s="6" t="str">
        <f>TEXT(tblInputSheet[[#This Row],[Sl.No]], "000")&amp; ":"&amp; tblInputSheet[[#This Row],[Process]]</f>
        <v>055:Primier Pricer API</v>
      </c>
      <c r="F57" s="6" t="str">
        <f>IFERROR(IF(tblInputSheet[[#This Row],[Process]] = "", "", REPT("*",Demo!$A57)&amp;""&amp;tblInputSheet[[#This Row],[Process]]), "")</f>
        <v>**********Primier Pricer API</v>
      </c>
      <c r="G57" s="6" t="str">
        <f>IFERROR(IF(tblInputSheet[[#This Row],[Hosted Platform]] = "-", "", VLOOKUP(tblInputSheet[[#This Row],[Hosted Platform]], tblHosted_PlatformOwner[], 2,FALSE)), "")</f>
        <v>CC001</v>
      </c>
      <c r="H57" s="6" t="str">
        <f>IFERROR(IF(tblInputSheet[[#This Row],[Hosted Platform]] = "-", "", VLOOKUP(tblInputSheet[[#This Row],[Hosted Platform]], tblHosted_PlatformOwner[], 1,FALSE)), "")</f>
        <v>PCF</v>
      </c>
      <c r="I57" s="6" t="str">
        <f>IFERROR(IF(tblInputSheet[[#This Row],[Provider]] = "-", "", VLOOKUP(tblInputSheet[[#This Row],[Provider]], tblParticipants[], 2,FALSE)), "")</f>
        <v>PP010</v>
      </c>
      <c r="J57" s="6" t="str">
        <f>IFERROR(IF(tblInputSheet[[#This Row],[Provider]] = "-", "", VLOOKUP(tblInputSheet[[#This Row],[Provider]], tblParticipants[], 1,FALSE)), "")</f>
        <v>Provider</v>
      </c>
      <c r="K57" s="6" t="str">
        <f>IFERROR(IF(tblInputSheet[[#This Row],[Consumer]] = "-", "", VLOOKUP(tblInputSheet[[#This Row],[Consumer]], tblParticipants[], 2,FALSE)), "")</f>
        <v>PP001</v>
      </c>
      <c r="L57" s="6" t="str">
        <f>IFERROR(IF(tblInputSheet[[#This Row],[Consumer]] = "-", "", VLOOKUP(tblInputSheet[[#This Row],[Consumer]], tblParticipants[], 1,FALSE)), "")</f>
        <v>Key-Claims Adjudication</v>
      </c>
      <c r="M57" s="6" t="str">
        <f>IFERROR(IF(tblInputSheet[[#This Row],[Integration Pattern]] = "-", "", VLOOKUP(tblInputSheet[[#This Row],[Integration Pattern]], tblIntegrationPartten[], 2,FALSE)), "")</f>
        <v>IP007</v>
      </c>
      <c r="N57" s="6" t="str">
        <f>IFERROR(IF(tblInputSheet[[#This Row],[Integration Pattern]] = "-", "", VLOOKUP(tblInputSheet[[#This Row],[Integration Pattern]], tblIntegrationPartten[], 1,FALSE)), "")</f>
        <v>REST Service - API</v>
      </c>
      <c r="O57" s="6" t="str">
        <f>tblDisplaySheet[[#This Row],[Current State]]</f>
        <v>Y</v>
      </c>
      <c r="P57" s="6" t="str">
        <f>tblDisplaySheet[[#This Row],[Confidence Factor]]</f>
        <v>Medium</v>
      </c>
      <c r="Q57" s="6">
        <f>tblDisplaySheet[[#This Row],[Count of Invocations]]</f>
        <v>1</v>
      </c>
      <c r="R57" s="6">
        <f>tblDisplaySheet[[#This Row],[DB Calls (ms)]]</f>
        <v>0</v>
      </c>
      <c r="S57" s="6">
        <f>tblDisplaySheet[[#This Row],[Logic (ms)]]</f>
        <v>20</v>
      </c>
      <c r="T57" s="6">
        <f>tblDisplaySheet[[#This Row],[Rules (ms)]]</f>
        <v>0</v>
      </c>
      <c r="U57" s="6">
        <f>tblDisplaySheet[[#This Row],[Latency (ms)]]</f>
        <v>15</v>
      </c>
      <c r="V57" s="6">
        <f>tblDisplaySheet[[#This Row],[Total Process Path Length]]</f>
        <v>35</v>
      </c>
      <c r="W57" s="6">
        <f>tblDisplaySheet[[#This Row],[Total Process Time]]</f>
        <v>35</v>
      </c>
      <c r="X57" s="6">
        <f>tblDisplaySheet[[#This Row],[Total Process Path Length]]</f>
        <v>35</v>
      </c>
      <c r="Y57" s="6">
        <f>tblDisplaySheet[[#This Row],[Process NFR]]</f>
        <v>50</v>
      </c>
      <c r="Z57" s="6">
        <f>tblDisplaySheet[[#This Row],[Total Process NFR]]</f>
        <v>50</v>
      </c>
      <c r="AA57" s="6">
        <f>tblDisplaySheet[[#This Row],[Total Process Path Length NFR]]</f>
        <v>50</v>
      </c>
      <c r="AB57" s="6" t="str">
        <f>tblDisplaySheet[[#This Row],[Status]]</f>
        <v>On Target</v>
      </c>
      <c r="AC57" s="6" t="str">
        <f>tblDisplaySheet[[#This Row],[Status]]</f>
        <v>On Target</v>
      </c>
      <c r="AD57" s="6" t="str">
        <f>tblDisplaySheet[[#This Row],[Is Leaf?]]</f>
        <v>Y</v>
      </c>
      <c r="AE57" s="6" t="str">
        <f>tblDisplaySheet[[#This Row],[Owner]]</f>
        <v>Alak</v>
      </c>
    </row>
    <row r="58" spans="1:31" x14ac:dyDescent="0.25">
      <c r="A58" s="6">
        <f>tblDisplaySheet[[#This Row],[Link]]</f>
        <v>50</v>
      </c>
      <c r="B58" s="6">
        <f>tblDisplaySheet[[#This Row],[Level]]</f>
        <v>9</v>
      </c>
      <c r="C58" s="6">
        <f>tblDisplaySheet[[#This Row],[Sl.No]]</f>
        <v>56</v>
      </c>
      <c r="D58" s="6" t="str">
        <f>tblDisplaySheet[[#This Row],[Group]]</f>
        <v>Service Level - Pricing Engine</v>
      </c>
      <c r="E58" s="6" t="str">
        <f>TEXT(tblInputSheet[[#This Row],[Sl.No]], "000")&amp; ":"&amp; tblInputSheet[[#This Row],[Process]]</f>
        <v>056:ClaimsXten Microservice</v>
      </c>
      <c r="F58" s="6" t="str">
        <f>IFERROR(IF(tblInputSheet[[#This Row],[Process]] = "", "", REPT("*",Demo!$A58)&amp;""&amp;tblInputSheet[[#This Row],[Process]]), "")</f>
        <v>*********ClaimsXten Microservice</v>
      </c>
      <c r="G58" s="6" t="str">
        <f>IFERROR(IF(tblInputSheet[[#This Row],[Hosted Platform]] = "-", "", VLOOKUP(tblInputSheet[[#This Row],[Hosted Platform]], tblHosted_PlatformOwner[], 2,FALSE)), "")</f>
        <v>CC001</v>
      </c>
      <c r="H58" s="6" t="str">
        <f>IFERROR(IF(tblInputSheet[[#This Row],[Hosted Platform]] = "-", "", VLOOKUP(tblInputSheet[[#This Row],[Hosted Platform]], tblHosted_PlatformOwner[], 1,FALSE)), "")</f>
        <v>PCF</v>
      </c>
      <c r="I58" s="6" t="str">
        <f>IFERROR(IF(tblInputSheet[[#This Row],[Provider]] = "-", "", VLOOKUP(tblInputSheet[[#This Row],[Provider]], tblParticipants[], 2,FALSE)), "")</f>
        <v>PP001</v>
      </c>
      <c r="J58" s="6" t="str">
        <f>IFERROR(IF(tblInputSheet[[#This Row],[Provider]] = "-", "", VLOOKUP(tblInputSheet[[#This Row],[Provider]], tblParticipants[], 1,FALSE)), "")</f>
        <v>Key-Claims Adjudication</v>
      </c>
      <c r="K58" s="6" t="str">
        <f>IFERROR(IF(tblInputSheet[[#This Row],[Consumer]] = "-", "", VLOOKUP(tblInputSheet[[#This Row],[Consumer]], tblParticipants[], 2,FALSE)), "")</f>
        <v>PP001</v>
      </c>
      <c r="L58" s="6" t="str">
        <f>IFERROR(IF(tblInputSheet[[#This Row],[Consumer]] = "-", "", VLOOKUP(tblInputSheet[[#This Row],[Consumer]], tblParticipants[], 1,FALSE)), "")</f>
        <v>Key-Claims Adjudication</v>
      </c>
      <c r="M58" s="6" t="str">
        <f>IFERROR(IF(tblInputSheet[[#This Row],[Integration Pattern]] = "-", "", VLOOKUP(tblInputSheet[[#This Row],[Integration Pattern]], tblIntegrationPartten[], 2,FALSE)), "")</f>
        <v>IP001</v>
      </c>
      <c r="N58" s="6" t="str">
        <f>IFERROR(IF(tblInputSheet[[#This Row],[Integration Pattern]] = "-", "", VLOOKUP(tblInputSheet[[#This Row],[Integration Pattern]], tblIntegrationPartten[], 1,FALSE)), "")</f>
        <v>PCF Internal (C-to-C)</v>
      </c>
      <c r="O58" s="6" t="str">
        <f>tblDisplaySheet[[#This Row],[Current State]]</f>
        <v>Y</v>
      </c>
      <c r="P58" s="6" t="str">
        <f>tblDisplaySheet[[#This Row],[Confidence Factor]]</f>
        <v>Medium</v>
      </c>
      <c r="Q58" s="6">
        <f>tblDisplaySheet[[#This Row],[Count of Invocations]]</f>
        <v>1</v>
      </c>
      <c r="R58" s="6">
        <f>tblDisplaySheet[[#This Row],[DB Calls (ms)]]</f>
        <v>0</v>
      </c>
      <c r="S58" s="6">
        <f>tblDisplaySheet[[#This Row],[Logic (ms)]]</f>
        <v>20</v>
      </c>
      <c r="T58" s="6">
        <f>tblDisplaySheet[[#This Row],[Rules (ms)]]</f>
        <v>0</v>
      </c>
      <c r="U58" s="6">
        <f>tblDisplaySheet[[#This Row],[Latency (ms)]]</f>
        <v>15</v>
      </c>
      <c r="V58" s="6">
        <f>tblDisplaySheet[[#This Row],[Total Process Path Length]]</f>
        <v>1170</v>
      </c>
      <c r="W58" s="6">
        <f>tblDisplaySheet[[#This Row],[Total Process Time]]</f>
        <v>35</v>
      </c>
      <c r="X58" s="6">
        <f>tblDisplaySheet[[#This Row],[Total Process Path Length]]</f>
        <v>1170</v>
      </c>
      <c r="Y58" s="6">
        <f>tblDisplaySheet[[#This Row],[Process NFR]]</f>
        <v>50</v>
      </c>
      <c r="Z58" s="6">
        <f>tblDisplaySheet[[#This Row],[Total Process NFR]]</f>
        <v>50</v>
      </c>
      <c r="AA58" s="6">
        <f>tblDisplaySheet[[#This Row],[Total Process Path Length NFR]]</f>
        <v>1185</v>
      </c>
      <c r="AB58" s="6" t="str">
        <f>tblDisplaySheet[[#This Row],[Status]]</f>
        <v>On Target</v>
      </c>
      <c r="AC58" s="6" t="str">
        <f>tblDisplaySheet[[#This Row],[Status]]</f>
        <v>On Target</v>
      </c>
      <c r="AD58" s="6" t="str">
        <f>tblDisplaySheet[[#This Row],[Is Leaf?]]</f>
        <v>N</v>
      </c>
      <c r="AE58" s="6" t="str">
        <f>tblDisplaySheet[[#This Row],[Owner]]</f>
        <v>Alak</v>
      </c>
    </row>
    <row r="59" spans="1:31" x14ac:dyDescent="0.25">
      <c r="A59" s="6">
        <f>tblDisplaySheet[[#This Row],[Link]]</f>
        <v>56</v>
      </c>
      <c r="B59" s="6">
        <f>tblDisplaySheet[[#This Row],[Level]]</f>
        <v>10</v>
      </c>
      <c r="C59" s="6">
        <f>tblDisplaySheet[[#This Row],[Sl.No]]</f>
        <v>57</v>
      </c>
      <c r="D59" s="6" t="str">
        <f>tblDisplaySheet[[#This Row],[Group]]</f>
        <v>Service Level - Pricing Engine</v>
      </c>
      <c r="E59" s="6" t="str">
        <f>TEXT(tblInputSheet[[#This Row],[Sl.No]], "000")&amp; ":"&amp; tblInputSheet[[#This Row],[Process]]</f>
        <v>057:Claims Xten Mule Adapter</v>
      </c>
      <c r="F59" s="6" t="str">
        <f>IFERROR(IF(tblInputSheet[[#This Row],[Process]] = "", "", REPT("*",Demo!$A59)&amp;""&amp;tblInputSheet[[#This Row],[Process]]), "")</f>
        <v>**********Claims Xten Mule Adapter</v>
      </c>
      <c r="G59" s="6" t="str">
        <f>IFERROR(IF(tblInputSheet[[#This Row],[Hosted Platform]] = "-", "", VLOOKUP(tblInputSheet[[#This Row],[Hosted Platform]], tblHosted_PlatformOwner[], 2,FALSE)), "")</f>
        <v>CC002</v>
      </c>
      <c r="H59" s="6" t="str">
        <f>IFERROR(IF(tblInputSheet[[#This Row],[Hosted Platform]] = "-", "", VLOOKUP(tblInputSheet[[#This Row],[Hosted Platform]], tblHosted_PlatformOwner[], 1,FALSE)), "")</f>
        <v>Mule ESB</v>
      </c>
      <c r="I59" s="6" t="str">
        <f>IFERROR(IF(tblInputSheet[[#This Row],[Provider]] = "-", "", VLOOKUP(tblInputSheet[[#This Row],[Provider]], tblParticipants[], 2,FALSE)), "")</f>
        <v>PP001</v>
      </c>
      <c r="J59" s="6" t="str">
        <f>IFERROR(IF(tblInputSheet[[#This Row],[Provider]] = "-", "", VLOOKUP(tblInputSheet[[#This Row],[Provider]], tblParticipants[], 1,FALSE)), "")</f>
        <v>Key-Claims Adjudication</v>
      </c>
      <c r="K59" s="6" t="str">
        <f>IFERROR(IF(tblInputSheet[[#This Row],[Consumer]] = "-", "", VLOOKUP(tblInputSheet[[#This Row],[Consumer]], tblParticipants[], 2,FALSE)), "")</f>
        <v>PP004</v>
      </c>
      <c r="L59" s="6" t="str">
        <f>IFERROR(IF(tblInputSheet[[#This Row],[Consumer]] = "-", "", VLOOKUP(tblInputSheet[[#This Row],[Consumer]], tblParticipants[], 1,FALSE)), "")</f>
        <v>Claims-Legacy</v>
      </c>
      <c r="M59" s="6" t="str">
        <f>IFERROR(IF(tblInputSheet[[#This Row],[Integration Pattern]] = "-", "", VLOOKUP(tblInputSheet[[#This Row],[Integration Pattern]], tblIntegrationPartten[], 2,FALSE)), "")</f>
        <v>IP004</v>
      </c>
      <c r="N59" s="6" t="str">
        <f>IFERROR(IF(tblInputSheet[[#This Row],[Integration Pattern]] = "-", "", VLOOKUP(tblInputSheet[[#This Row],[Integration Pattern]], tblIntegrationPartten[], 1,FALSE)), "")</f>
        <v>ESB - CTG Integration</v>
      </c>
      <c r="O59" s="6" t="str">
        <f>tblDisplaySheet[[#This Row],[Current State]]</f>
        <v>Y</v>
      </c>
      <c r="P59" s="6" t="str">
        <f>tblDisplaySheet[[#This Row],[Confidence Factor]]</f>
        <v>Low</v>
      </c>
      <c r="Q59" s="6">
        <f>tblDisplaySheet[[#This Row],[Count of Invocations]]</f>
        <v>1</v>
      </c>
      <c r="R59" s="6">
        <f>tblDisplaySheet[[#This Row],[DB Calls (ms)]]</f>
        <v>0</v>
      </c>
      <c r="S59" s="6">
        <f>tblDisplaySheet[[#This Row],[Logic (ms)]]</f>
        <v>60</v>
      </c>
      <c r="T59" s="6">
        <f>tblDisplaySheet[[#This Row],[Rules (ms)]]</f>
        <v>0</v>
      </c>
      <c r="U59" s="6">
        <f>tblDisplaySheet[[#This Row],[Latency (ms)]]</f>
        <v>45</v>
      </c>
      <c r="V59" s="6">
        <f>tblDisplaySheet[[#This Row],[Total Process Path Length]]</f>
        <v>1135</v>
      </c>
      <c r="W59" s="6">
        <f>tblDisplaySheet[[#This Row],[Total Process Time]]</f>
        <v>105</v>
      </c>
      <c r="X59" s="6">
        <f>tblDisplaySheet[[#This Row],[Total Process Path Length]]</f>
        <v>1135</v>
      </c>
      <c r="Y59" s="6">
        <f>tblDisplaySheet[[#This Row],[Process NFR]]</f>
        <v>105</v>
      </c>
      <c r="Z59" s="6">
        <f>tblDisplaySheet[[#This Row],[Total Process NFR]]</f>
        <v>105</v>
      </c>
      <c r="AA59" s="6">
        <f>tblDisplaySheet[[#This Row],[Total Process Path Length NFR]]</f>
        <v>1135</v>
      </c>
      <c r="AB59" s="6" t="str">
        <f>tblDisplaySheet[[#This Row],[Status]]</f>
        <v>On Target</v>
      </c>
      <c r="AC59" s="6" t="str">
        <f>tblDisplaySheet[[#This Row],[Status]]</f>
        <v>On Target</v>
      </c>
      <c r="AD59" s="6" t="str">
        <f>tblDisplaySheet[[#This Row],[Is Leaf?]]</f>
        <v>N</v>
      </c>
      <c r="AE59" s="6" t="str">
        <f>tblDisplaySheet[[#This Row],[Owner]]</f>
        <v>Alak</v>
      </c>
    </row>
    <row r="60" spans="1:31" x14ac:dyDescent="0.25">
      <c r="A60" s="6">
        <f>tblDisplaySheet[[#This Row],[Link]]</f>
        <v>57</v>
      </c>
      <c r="B60" s="6">
        <f>tblDisplaySheet[[#This Row],[Level]]</f>
        <v>11</v>
      </c>
      <c r="C60" s="6">
        <f>tblDisplaySheet[[#This Row],[Sl.No]]</f>
        <v>58</v>
      </c>
      <c r="D60" s="6" t="str">
        <f>tblDisplaySheet[[#This Row],[Group]]</f>
        <v>Service Level - Pricing Engine</v>
      </c>
      <c r="E60" s="6" t="str">
        <f>TEXT(tblInputSheet[[#This Row],[Sl.No]], "000")&amp; ":"&amp; tblInputSheet[[#This Row],[Process]]</f>
        <v>058:Invoker</v>
      </c>
      <c r="F60" s="6" t="str">
        <f>IFERROR(IF(tblInputSheet[[#This Row],[Process]] = "", "", REPT("*",Demo!$A60)&amp;""&amp;tblInputSheet[[#This Row],[Process]]), "")</f>
        <v>***********Invoker</v>
      </c>
      <c r="G60" s="6" t="str">
        <f>IFERROR(IF(tblInputSheet[[#This Row],[Hosted Platform]] = "-", "", VLOOKUP(tblInputSheet[[#This Row],[Hosted Platform]], tblHosted_PlatformOwner[], 2,FALSE)), "")</f>
        <v>CC004</v>
      </c>
      <c r="H60" s="6" t="str">
        <f>IFERROR(IF(tblInputSheet[[#This Row],[Hosted Platform]] = "-", "", VLOOKUP(tblInputSheet[[#This Row],[Hosted Platform]], tblHosted_PlatformOwner[], 1,FALSE)), "")</f>
        <v>Legacy BC</v>
      </c>
      <c r="I60" s="6" t="str">
        <f>IFERROR(IF(tblInputSheet[[#This Row],[Provider]] = "-", "", VLOOKUP(tblInputSheet[[#This Row],[Provider]], tblParticipants[], 2,FALSE)), "")</f>
        <v>PP004</v>
      </c>
      <c r="J60" s="6" t="str">
        <f>IFERROR(IF(tblInputSheet[[#This Row],[Provider]] = "-", "", VLOOKUP(tblInputSheet[[#This Row],[Provider]], tblParticipants[], 1,FALSE)), "")</f>
        <v>Claims-Legacy</v>
      </c>
      <c r="K60" s="6" t="str">
        <f>IFERROR(IF(tblInputSheet[[#This Row],[Consumer]] = "-", "", VLOOKUP(tblInputSheet[[#This Row],[Consumer]], tblParticipants[], 2,FALSE)), "")</f>
        <v>PP004</v>
      </c>
      <c r="L60" s="6" t="str">
        <f>IFERROR(IF(tblInputSheet[[#This Row],[Consumer]] = "-", "", VLOOKUP(tblInputSheet[[#This Row],[Consumer]], tblParticipants[], 1,FALSE)), "")</f>
        <v>Claims-Legacy</v>
      </c>
      <c r="M60" s="6" t="str">
        <f>IFERROR(IF(tblInputSheet[[#This Row],[Integration Pattern]] = "-", "", VLOOKUP(tblInputSheet[[#This Row],[Integration Pattern]], tblIntegrationPartten[], 2,FALSE)), "")</f>
        <v>IP010</v>
      </c>
      <c r="N60" s="6" t="str">
        <f>IFERROR(IF(tblInputSheet[[#This Row],[Integration Pattern]] = "-", "", VLOOKUP(tblInputSheet[[#This Row],[Integration Pattern]], tblIntegrationPartten[], 1,FALSE)), "")</f>
        <v>BC Internal</v>
      </c>
      <c r="O60" s="6" t="str">
        <f>tblDisplaySheet[[#This Row],[Current State]]</f>
        <v>Y</v>
      </c>
      <c r="P60" s="6" t="str">
        <f>tblDisplaySheet[[#This Row],[Confidence Factor]]</f>
        <v>Medium</v>
      </c>
      <c r="Q60" s="6">
        <f>tblDisplaySheet[[#This Row],[Count of Invocations]]</f>
        <v>1</v>
      </c>
      <c r="R60" s="6">
        <f>tblDisplaySheet[[#This Row],[DB Calls (ms)]]</f>
        <v>0</v>
      </c>
      <c r="S60" s="6">
        <f>tblDisplaySheet[[#This Row],[Logic (ms)]]</f>
        <v>1</v>
      </c>
      <c r="T60" s="6">
        <f>tblDisplaySheet[[#This Row],[Rules (ms)]]</f>
        <v>0</v>
      </c>
      <c r="U60" s="6">
        <f>tblDisplaySheet[[#This Row],[Latency (ms)]]</f>
        <v>0</v>
      </c>
      <c r="V60" s="6">
        <f>tblDisplaySheet[[#This Row],[Total Process Path Length]]</f>
        <v>1030</v>
      </c>
      <c r="W60" s="6">
        <f>tblDisplaySheet[[#This Row],[Total Process Time]]</f>
        <v>1</v>
      </c>
      <c r="X60" s="6">
        <f>tblDisplaySheet[[#This Row],[Total Process Path Length]]</f>
        <v>1030</v>
      </c>
      <c r="Y60" s="6">
        <f>tblDisplaySheet[[#This Row],[Process NFR]]</f>
        <v>1</v>
      </c>
      <c r="Z60" s="6">
        <f>tblDisplaySheet[[#This Row],[Total Process NFR]]</f>
        <v>1</v>
      </c>
      <c r="AA60" s="6">
        <f>tblDisplaySheet[[#This Row],[Total Process Path Length NFR]]</f>
        <v>1030</v>
      </c>
      <c r="AB60" s="6" t="str">
        <f>tblDisplaySheet[[#This Row],[Status]]</f>
        <v>On Target</v>
      </c>
      <c r="AC60" s="6" t="str">
        <f>tblDisplaySheet[[#This Row],[Status]]</f>
        <v>On Target</v>
      </c>
      <c r="AD60" s="6" t="str">
        <f>tblDisplaySheet[[#This Row],[Is Leaf?]]</f>
        <v>N</v>
      </c>
      <c r="AE60" s="6" t="str">
        <f>tblDisplaySheet[[#This Row],[Owner]]</f>
        <v>Alak</v>
      </c>
    </row>
    <row r="61" spans="1:31" x14ac:dyDescent="0.25">
      <c r="A61" s="6">
        <f>tblDisplaySheet[[#This Row],[Link]]</f>
        <v>58</v>
      </c>
      <c r="B61" s="6">
        <f>tblDisplaySheet[[#This Row],[Level]]</f>
        <v>12</v>
      </c>
      <c r="C61" s="6">
        <f>tblDisplaySheet[[#This Row],[Sl.No]]</f>
        <v>59</v>
      </c>
      <c r="D61" s="6" t="str">
        <f>tblDisplaySheet[[#This Row],[Group]]</f>
        <v>Service Level - Pricing Engine</v>
      </c>
      <c r="E61" s="6" t="str">
        <f>TEXT(tblInputSheet[[#This Row],[Sl.No]], "000")&amp; ":"&amp; tblInputSheet[[#This Row],[Process]]</f>
        <v>059:Legacy Claims Xten</v>
      </c>
      <c r="F61" s="6" t="str">
        <f>IFERROR(IF(tblInputSheet[[#This Row],[Process]] = "", "", REPT("*",Demo!$A61)&amp;""&amp;tblInputSheet[[#This Row],[Process]]), "")</f>
        <v>************Legacy Claims Xten</v>
      </c>
      <c r="G61" s="6" t="str">
        <f>IFERROR(IF(tblInputSheet[[#This Row],[Hosted Platform]] = "-", "", VLOOKUP(tblInputSheet[[#This Row],[Hosted Platform]], tblHosted_PlatformOwner[], 2,FALSE)), "")</f>
        <v>CC004</v>
      </c>
      <c r="H61" s="6" t="str">
        <f>IFERROR(IF(tblInputSheet[[#This Row],[Hosted Platform]] = "-", "", VLOOKUP(tblInputSheet[[#This Row],[Hosted Platform]], tblHosted_PlatformOwner[], 1,FALSE)), "")</f>
        <v>Legacy BC</v>
      </c>
      <c r="I61" s="6" t="str">
        <f>IFERROR(IF(tblInputSheet[[#This Row],[Provider]] = "-", "", VLOOKUP(tblInputSheet[[#This Row],[Provider]], tblParticipants[], 2,FALSE)), "")</f>
        <v>PP004</v>
      </c>
      <c r="J61" s="6" t="str">
        <f>IFERROR(IF(tblInputSheet[[#This Row],[Provider]] = "-", "", VLOOKUP(tblInputSheet[[#This Row],[Provider]], tblParticipants[], 1,FALSE)), "")</f>
        <v>Claims-Legacy</v>
      </c>
      <c r="K61" s="6" t="str">
        <f>IFERROR(IF(tblInputSheet[[#This Row],[Consumer]] = "-", "", VLOOKUP(tblInputSheet[[#This Row],[Consumer]], tblParticipants[], 2,FALSE)), "")</f>
        <v>PP004</v>
      </c>
      <c r="L61" s="6" t="str">
        <f>IFERROR(IF(tblInputSheet[[#This Row],[Consumer]] = "-", "", VLOOKUP(tblInputSheet[[#This Row],[Consumer]], tblParticipants[], 1,FALSE)), "")</f>
        <v>Claims-Legacy</v>
      </c>
      <c r="M61" s="6" t="str">
        <f>IFERROR(IF(tblInputSheet[[#This Row],[Integration Pattern]] = "-", "", VLOOKUP(tblInputSheet[[#This Row],[Integration Pattern]], tblIntegrationPartten[], 2,FALSE)), "")</f>
        <v>IP010</v>
      </c>
      <c r="N61" s="6" t="str">
        <f>IFERROR(IF(tblInputSheet[[#This Row],[Integration Pattern]] = "-", "", VLOOKUP(tblInputSheet[[#This Row],[Integration Pattern]], tblIntegrationPartten[], 1,FALSE)), "")</f>
        <v>BC Internal</v>
      </c>
      <c r="O61" s="6" t="str">
        <f>tblDisplaySheet[[#This Row],[Current State]]</f>
        <v>Y</v>
      </c>
      <c r="P61" s="6" t="str">
        <f>tblDisplaySheet[[#This Row],[Confidence Factor]]</f>
        <v>Low</v>
      </c>
      <c r="Q61" s="6">
        <f>tblDisplaySheet[[#This Row],[Count of Invocations]]</f>
        <v>1</v>
      </c>
      <c r="R61" s="6">
        <f>tblDisplaySheet[[#This Row],[DB Calls (ms)]]</f>
        <v>0</v>
      </c>
      <c r="S61" s="6">
        <f>tblDisplaySheet[[#This Row],[Logic (ms)]]</f>
        <v>1029</v>
      </c>
      <c r="T61" s="6">
        <f>tblDisplaySheet[[#This Row],[Rules (ms)]]</f>
        <v>0</v>
      </c>
      <c r="U61" s="6">
        <f>tblDisplaySheet[[#This Row],[Latency (ms)]]</f>
        <v>0</v>
      </c>
      <c r="V61" s="6">
        <f>tblDisplaySheet[[#This Row],[Total Process Path Length]]</f>
        <v>1029</v>
      </c>
      <c r="W61" s="6">
        <f>tblDisplaySheet[[#This Row],[Total Process Time]]</f>
        <v>1029</v>
      </c>
      <c r="X61" s="6">
        <f>tblDisplaySheet[[#This Row],[Total Process Path Length]]</f>
        <v>1029</v>
      </c>
      <c r="Y61" s="6">
        <f>tblDisplaySheet[[#This Row],[Process NFR]]</f>
        <v>1029</v>
      </c>
      <c r="Z61" s="6">
        <f>tblDisplaySheet[[#This Row],[Total Process NFR]]</f>
        <v>1029</v>
      </c>
      <c r="AA61" s="6">
        <f>tblDisplaySheet[[#This Row],[Total Process Path Length NFR]]</f>
        <v>1029</v>
      </c>
      <c r="AB61" s="6" t="str">
        <f>tblDisplaySheet[[#This Row],[Status]]</f>
        <v>On Target</v>
      </c>
      <c r="AC61" s="6" t="str">
        <f>tblDisplaySheet[[#This Row],[Status]]</f>
        <v>On Target</v>
      </c>
      <c r="AD61" s="6" t="str">
        <f>tblDisplaySheet[[#This Row],[Is Leaf?]]</f>
        <v>Y</v>
      </c>
      <c r="AE61" s="6" t="str">
        <f>tblDisplaySheet[[#This Row],[Owner]]</f>
        <v>Alak</v>
      </c>
    </row>
    <row r="62" spans="1:31" x14ac:dyDescent="0.25">
      <c r="A62" s="6">
        <f>tblDisplaySheet[[#This Row],[Link]]</f>
        <v>50</v>
      </c>
      <c r="B62" s="6">
        <f>tblDisplaySheet[[#This Row],[Level]]</f>
        <v>9</v>
      </c>
      <c r="C62" s="6">
        <f>tblDisplaySheet[[#This Row],[Sl.No]]</f>
        <v>60</v>
      </c>
      <c r="D62" s="6" t="str">
        <f>tblDisplaySheet[[#This Row],[Group]]</f>
        <v>Service Level - Pricing Engine</v>
      </c>
      <c r="E62" s="6" t="str">
        <f>TEXT(tblInputSheet[[#This Row],[Sl.No]], "000")&amp; ":"&amp; tblInputSheet[[#This Row],[Process]]</f>
        <v>060:UPF (National Modules) Mule Adapter</v>
      </c>
      <c r="F62" s="6" t="str">
        <f>IFERROR(IF(tblInputSheet[[#This Row],[Process]] = "", "", REPT("*",Demo!$A62)&amp;""&amp;tblInputSheet[[#This Row],[Process]]), "")</f>
        <v>*********UPF (National Modules) Mule Adapter</v>
      </c>
      <c r="G62" s="6" t="str">
        <f>IFERROR(IF(tblInputSheet[[#This Row],[Hosted Platform]] = "-", "", VLOOKUP(tblInputSheet[[#This Row],[Hosted Platform]], tblHosted_PlatformOwner[], 2,FALSE)), "")</f>
        <v>CC002</v>
      </c>
      <c r="H62" s="6" t="str">
        <f>IFERROR(IF(tblInputSheet[[#This Row],[Hosted Platform]] = "-", "", VLOOKUP(tblInputSheet[[#This Row],[Hosted Platform]], tblHosted_PlatformOwner[], 1,FALSE)), "")</f>
        <v>Mule ESB</v>
      </c>
      <c r="I62" s="6" t="str">
        <f>IFERROR(IF(tblInputSheet[[#This Row],[Provider]] = "-", "", VLOOKUP(tblInputSheet[[#This Row],[Provider]], tblParticipants[], 2,FALSE)), "")</f>
        <v>PP001</v>
      </c>
      <c r="J62" s="6" t="str">
        <f>IFERROR(IF(tblInputSheet[[#This Row],[Provider]] = "-", "", VLOOKUP(tblInputSheet[[#This Row],[Provider]], tblParticipants[], 1,FALSE)), "")</f>
        <v>Key-Claims Adjudication</v>
      </c>
      <c r="K62" s="6" t="str">
        <f>IFERROR(IF(tblInputSheet[[#This Row],[Consumer]] = "-", "", VLOOKUP(tblInputSheet[[#This Row],[Consumer]], tblParticipants[], 2,FALSE)), "")</f>
        <v>PP014</v>
      </c>
      <c r="L62" s="6" t="str">
        <f>IFERROR(IF(tblInputSheet[[#This Row],[Consumer]] = "-", "", VLOOKUP(tblInputSheet[[#This Row],[Consumer]], tblParticipants[], 1,FALSE)), "")</f>
        <v>Other</v>
      </c>
      <c r="M62" s="6" t="str">
        <f>IFERROR(IF(tblInputSheet[[#This Row],[Integration Pattern]] = "-", "", VLOOKUP(tblInputSheet[[#This Row],[Integration Pattern]], tblIntegrationPartten[], 2,FALSE)), "")</f>
        <v>IP004</v>
      </c>
      <c r="N62" s="6" t="str">
        <f>IFERROR(IF(tblInputSheet[[#This Row],[Integration Pattern]] = "-", "", VLOOKUP(tblInputSheet[[#This Row],[Integration Pattern]], tblIntegrationPartten[], 1,FALSE)), "")</f>
        <v>ESB - CTG Integration</v>
      </c>
      <c r="O62" s="6" t="str">
        <f>tblDisplaySheet[[#This Row],[Current State]]</f>
        <v>Y</v>
      </c>
      <c r="P62" s="6" t="str">
        <f>tblDisplaySheet[[#This Row],[Confidence Factor]]</f>
        <v>Low</v>
      </c>
      <c r="Q62" s="6">
        <f>tblDisplaySheet[[#This Row],[Count of Invocations]]</f>
        <v>1</v>
      </c>
      <c r="R62" s="6" t="str">
        <f>tblDisplaySheet[[#This Row],[DB Calls (ms)]]</f>
        <v>`</v>
      </c>
      <c r="S62" s="6">
        <f>tblDisplaySheet[[#This Row],[Logic (ms)]]</f>
        <v>65</v>
      </c>
      <c r="T62" s="6">
        <f>tblDisplaySheet[[#This Row],[Rules (ms)]]</f>
        <v>0</v>
      </c>
      <c r="U62" s="6">
        <f>tblDisplaySheet[[#This Row],[Latency (ms)]]</f>
        <v>50</v>
      </c>
      <c r="V62" s="6">
        <f>tblDisplaySheet[[#This Row],[Total Process Path Length]]</f>
        <v>151</v>
      </c>
      <c r="W62" s="6">
        <f>tblDisplaySheet[[#This Row],[Total Process Time]]</f>
        <v>115</v>
      </c>
      <c r="X62" s="6">
        <f>tblDisplaySheet[[#This Row],[Total Process Path Length]]</f>
        <v>151</v>
      </c>
      <c r="Y62" s="6">
        <f>tblDisplaySheet[[#This Row],[Process NFR]]</f>
        <v>115</v>
      </c>
      <c r="Z62" s="6">
        <f>tblDisplaySheet[[#This Row],[Total Process NFR]]</f>
        <v>115</v>
      </c>
      <c r="AA62" s="6">
        <f>tblDisplaySheet[[#This Row],[Total Process Path Length NFR]]</f>
        <v>166</v>
      </c>
      <c r="AB62" s="6" t="str">
        <f>tblDisplaySheet[[#This Row],[Status]]</f>
        <v>On Target</v>
      </c>
      <c r="AC62" s="6" t="str">
        <f>tblDisplaySheet[[#This Row],[Status]]</f>
        <v>On Target</v>
      </c>
      <c r="AD62" s="6" t="str">
        <f>tblDisplaySheet[[#This Row],[Is Leaf?]]</f>
        <v>N</v>
      </c>
      <c r="AE62" s="6" t="str">
        <f>tblDisplaySheet[[#This Row],[Owner]]</f>
        <v>Alak</v>
      </c>
    </row>
    <row r="63" spans="1:31" x14ac:dyDescent="0.25">
      <c r="A63" s="6">
        <f>tblDisplaySheet[[#This Row],[Link]]</f>
        <v>60</v>
      </c>
      <c r="B63" s="6">
        <f>tblDisplaySheet[[#This Row],[Level]]</f>
        <v>10</v>
      </c>
      <c r="C63" s="6">
        <f>tblDisplaySheet[[#This Row],[Sl.No]]</f>
        <v>61</v>
      </c>
      <c r="D63" s="6" t="str">
        <f>tblDisplaySheet[[#This Row],[Group]]</f>
        <v>Service Level - Pricing Engine</v>
      </c>
      <c r="E63" s="6" t="str">
        <f>TEXT(tblInputSheet[[#This Row],[Sl.No]], "000")&amp; ":"&amp; tblInputSheet[[#This Row],[Process]]</f>
        <v>061:Invoker</v>
      </c>
      <c r="F63" s="6" t="str">
        <f>IFERROR(IF(tblInputSheet[[#This Row],[Process]] = "", "", REPT("*",Demo!$A63)&amp;""&amp;tblInputSheet[[#This Row],[Process]]), "")</f>
        <v>**********Invoker</v>
      </c>
      <c r="G63" s="6" t="str">
        <f>IFERROR(IF(tblInputSheet[[#This Row],[Hosted Platform]] = "-", "", VLOOKUP(tblInputSheet[[#This Row],[Hosted Platform]], tblHosted_PlatformOwner[], 2,FALSE)), "")</f>
        <v>CC004</v>
      </c>
      <c r="H63" s="6" t="str">
        <f>IFERROR(IF(tblInputSheet[[#This Row],[Hosted Platform]] = "-", "", VLOOKUP(tblInputSheet[[#This Row],[Hosted Platform]], tblHosted_PlatformOwner[], 1,FALSE)), "")</f>
        <v>Legacy BC</v>
      </c>
      <c r="I63" s="6" t="str">
        <f>IFERROR(IF(tblInputSheet[[#This Row],[Provider]] = "-", "", VLOOKUP(tblInputSheet[[#This Row],[Provider]], tblParticipants[], 2,FALSE)), "")</f>
        <v>PP004</v>
      </c>
      <c r="J63" s="6" t="str">
        <f>IFERROR(IF(tblInputSheet[[#This Row],[Provider]] = "-", "", VLOOKUP(tblInputSheet[[#This Row],[Provider]], tblParticipants[], 1,FALSE)), "")</f>
        <v>Claims-Legacy</v>
      </c>
      <c r="K63" s="6" t="str">
        <f>IFERROR(IF(tblInputSheet[[#This Row],[Consumer]] = "-", "", VLOOKUP(tblInputSheet[[#This Row],[Consumer]], tblParticipants[], 2,FALSE)), "")</f>
        <v>PP004</v>
      </c>
      <c r="L63" s="6" t="str">
        <f>IFERROR(IF(tblInputSheet[[#This Row],[Consumer]] = "-", "", VLOOKUP(tblInputSheet[[#This Row],[Consumer]], tblParticipants[], 1,FALSE)), "")</f>
        <v>Claims-Legacy</v>
      </c>
      <c r="M63" s="6" t="str">
        <f>IFERROR(IF(tblInputSheet[[#This Row],[Integration Pattern]] = "-", "", VLOOKUP(tblInputSheet[[#This Row],[Integration Pattern]], tblIntegrationPartten[], 2,FALSE)), "")</f>
        <v>IP010</v>
      </c>
      <c r="N63" s="6" t="str">
        <f>IFERROR(IF(tblInputSheet[[#This Row],[Integration Pattern]] = "-", "", VLOOKUP(tblInputSheet[[#This Row],[Integration Pattern]], tblIntegrationPartten[], 1,FALSE)), "")</f>
        <v>BC Internal</v>
      </c>
      <c r="O63" s="6" t="str">
        <f>tblDisplaySheet[[#This Row],[Current State]]</f>
        <v>Y</v>
      </c>
      <c r="P63" s="6" t="str">
        <f>tblDisplaySheet[[#This Row],[Confidence Factor]]</f>
        <v>Medium</v>
      </c>
      <c r="Q63" s="6">
        <f>tblDisplaySheet[[#This Row],[Count of Invocations]]</f>
        <v>1</v>
      </c>
      <c r="R63" s="6">
        <f>tblDisplaySheet[[#This Row],[DB Calls (ms)]]</f>
        <v>0</v>
      </c>
      <c r="S63" s="6">
        <f>tblDisplaySheet[[#This Row],[Logic (ms)]]</f>
        <v>1</v>
      </c>
      <c r="T63" s="6">
        <f>tblDisplaySheet[[#This Row],[Rules (ms)]]</f>
        <v>0</v>
      </c>
      <c r="U63" s="6">
        <f>tblDisplaySheet[[#This Row],[Latency (ms)]]</f>
        <v>0</v>
      </c>
      <c r="V63" s="6">
        <f>tblDisplaySheet[[#This Row],[Total Process Path Length]]</f>
        <v>36</v>
      </c>
      <c r="W63" s="6">
        <f>tblDisplaySheet[[#This Row],[Total Process Time]]</f>
        <v>1</v>
      </c>
      <c r="X63" s="6">
        <f>tblDisplaySheet[[#This Row],[Total Process Path Length]]</f>
        <v>36</v>
      </c>
      <c r="Y63" s="6">
        <f>tblDisplaySheet[[#This Row],[Process NFR]]</f>
        <v>1</v>
      </c>
      <c r="Z63" s="6">
        <f>tblDisplaySheet[[#This Row],[Total Process NFR]]</f>
        <v>1</v>
      </c>
      <c r="AA63" s="6">
        <f>tblDisplaySheet[[#This Row],[Total Process Path Length NFR]]</f>
        <v>51</v>
      </c>
      <c r="AB63" s="6" t="str">
        <f>tblDisplaySheet[[#This Row],[Status]]</f>
        <v>On Target</v>
      </c>
      <c r="AC63" s="6" t="str">
        <f>tblDisplaySheet[[#This Row],[Status]]</f>
        <v>On Target</v>
      </c>
      <c r="AD63" s="6" t="str">
        <f>tblDisplaySheet[[#This Row],[Is Leaf?]]</f>
        <v>N</v>
      </c>
      <c r="AE63" s="6" t="str">
        <f>tblDisplaySheet[[#This Row],[Owner]]</f>
        <v>Alak</v>
      </c>
    </row>
    <row r="64" spans="1:31" x14ac:dyDescent="0.25">
      <c r="A64" s="6">
        <f>tblDisplaySheet[[#This Row],[Link]]</f>
        <v>61</v>
      </c>
      <c r="B64" s="6">
        <f>tblDisplaySheet[[#This Row],[Level]]</f>
        <v>11</v>
      </c>
      <c r="C64" s="6">
        <f>tblDisplaySheet[[#This Row],[Sl.No]]</f>
        <v>62</v>
      </c>
      <c r="D64" s="6" t="str">
        <f>tblDisplaySheet[[#This Row],[Group]]</f>
        <v>Service Level - Pricing Engine</v>
      </c>
      <c r="E64" s="6" t="str">
        <f>TEXT(tblInputSheet[[#This Row],[Sl.No]], "000")&amp; ":"&amp; tblInputSheet[[#This Row],[Process]]</f>
        <v>062:UPF (National Modules) Module</v>
      </c>
      <c r="F64" s="6" t="str">
        <f>IFERROR(IF(tblInputSheet[[#This Row],[Process]] = "", "", REPT("*",Demo!$A64)&amp;""&amp;tblInputSheet[[#This Row],[Process]]), "")</f>
        <v>***********UPF (National Modules) Module</v>
      </c>
      <c r="G64" s="6" t="str">
        <f>IFERROR(IF(tblInputSheet[[#This Row],[Hosted Platform]] = "-", "", VLOOKUP(tblInputSheet[[#This Row],[Hosted Platform]], tblHosted_PlatformOwner[], 2,FALSE)), "")</f>
        <v>CC004</v>
      </c>
      <c r="H64" s="6" t="str">
        <f>IFERROR(IF(tblInputSheet[[#This Row],[Hosted Platform]] = "-", "", VLOOKUP(tblInputSheet[[#This Row],[Hosted Platform]], tblHosted_PlatformOwner[], 1,FALSE)), "")</f>
        <v>Legacy BC</v>
      </c>
      <c r="I64" s="6" t="str">
        <f>IFERROR(IF(tblInputSheet[[#This Row],[Provider]] = "-", "", VLOOKUP(tblInputSheet[[#This Row],[Provider]], tblParticipants[], 2,FALSE)), "")</f>
        <v>PP010</v>
      </c>
      <c r="J64" s="6" t="str">
        <f>IFERROR(IF(tblInputSheet[[#This Row],[Provider]] = "-", "", VLOOKUP(tblInputSheet[[#This Row],[Provider]], tblParticipants[], 1,FALSE)), "")</f>
        <v>Provider</v>
      </c>
      <c r="K64" s="6" t="str">
        <f>IFERROR(IF(tblInputSheet[[#This Row],[Consumer]] = "-", "", VLOOKUP(tblInputSheet[[#This Row],[Consumer]], tblParticipants[], 2,FALSE)), "")</f>
        <v>PP004</v>
      </c>
      <c r="L64" s="6" t="str">
        <f>IFERROR(IF(tblInputSheet[[#This Row],[Consumer]] = "-", "", VLOOKUP(tblInputSheet[[#This Row],[Consumer]], tblParticipants[], 1,FALSE)), "")</f>
        <v>Claims-Legacy</v>
      </c>
      <c r="M64" s="6" t="str">
        <f>IFERROR(IF(tblInputSheet[[#This Row],[Integration Pattern]] = "-", "", VLOOKUP(tblInputSheet[[#This Row],[Integration Pattern]], tblIntegrationPartten[], 2,FALSE)), "")</f>
        <v>IP010</v>
      </c>
      <c r="N64" s="6" t="str">
        <f>IFERROR(IF(tblInputSheet[[#This Row],[Integration Pattern]] = "-", "", VLOOKUP(tblInputSheet[[#This Row],[Integration Pattern]], tblIntegrationPartten[], 1,FALSE)), "")</f>
        <v>BC Internal</v>
      </c>
      <c r="O64" s="6" t="str">
        <f>tblDisplaySheet[[#This Row],[Current State]]</f>
        <v>Y</v>
      </c>
      <c r="P64" s="6" t="str">
        <f>tblDisplaySheet[[#This Row],[Confidence Factor]]</f>
        <v>Low</v>
      </c>
      <c r="Q64" s="6">
        <f>tblDisplaySheet[[#This Row],[Count of Invocations]]</f>
        <v>1</v>
      </c>
      <c r="R64" s="6">
        <f>tblDisplaySheet[[#This Row],[DB Calls (ms)]]</f>
        <v>0</v>
      </c>
      <c r="S64" s="6">
        <f>tblDisplaySheet[[#This Row],[Logic (ms)]]</f>
        <v>20</v>
      </c>
      <c r="T64" s="6">
        <f>tblDisplaySheet[[#This Row],[Rules (ms)]]</f>
        <v>0</v>
      </c>
      <c r="U64" s="6">
        <f>tblDisplaySheet[[#This Row],[Latency (ms)]]</f>
        <v>15</v>
      </c>
      <c r="V64" s="6">
        <f>tblDisplaySheet[[#This Row],[Total Process Path Length]]</f>
        <v>35</v>
      </c>
      <c r="W64" s="6">
        <f>tblDisplaySheet[[#This Row],[Total Process Time]]</f>
        <v>35</v>
      </c>
      <c r="X64" s="6">
        <f>tblDisplaySheet[[#This Row],[Total Process Path Length]]</f>
        <v>35</v>
      </c>
      <c r="Y64" s="6">
        <f>tblDisplaySheet[[#This Row],[Process NFR]]</f>
        <v>50</v>
      </c>
      <c r="Z64" s="6">
        <f>tblDisplaySheet[[#This Row],[Total Process NFR]]</f>
        <v>50</v>
      </c>
      <c r="AA64" s="6">
        <f>tblDisplaySheet[[#This Row],[Total Process Path Length NFR]]</f>
        <v>50</v>
      </c>
      <c r="AB64" s="6" t="str">
        <f>tblDisplaySheet[[#This Row],[Status]]</f>
        <v>On Target</v>
      </c>
      <c r="AC64" s="6" t="str">
        <f>tblDisplaySheet[[#This Row],[Status]]</f>
        <v>On Target</v>
      </c>
      <c r="AD64" s="6" t="str">
        <f>tblDisplaySheet[[#This Row],[Is Leaf?]]</f>
        <v>Y</v>
      </c>
      <c r="AE64" s="6" t="str">
        <f>tblDisplaySheet[[#This Row],[Owner]]</f>
        <v>Alak</v>
      </c>
    </row>
    <row r="65" spans="1:31" x14ac:dyDescent="0.25">
      <c r="A65" s="6">
        <f>tblDisplaySheet[[#This Row],[Link]]</f>
        <v>50</v>
      </c>
      <c r="B65" s="6">
        <f>tblDisplaySheet[[#This Row],[Level]]</f>
        <v>9</v>
      </c>
      <c r="C65" s="6">
        <f>tblDisplaySheet[[#This Row],[Sl.No]]</f>
        <v>63</v>
      </c>
      <c r="D65" s="6" t="str">
        <f>tblDisplaySheet[[#This Row],[Group]]</f>
        <v>Service Level - Pricing Engine</v>
      </c>
      <c r="E65" s="6" t="str">
        <f>TEXT(tblInputSheet[[#This Row],[Sl.No]], "000")&amp; ":"&amp; tblInputSheet[[#This Row],[Process]]</f>
        <v>063:AOC Vendor Request Service</v>
      </c>
      <c r="F65" s="6" t="str">
        <f>IFERROR(IF(tblInputSheet[[#This Row],[Process]] = "", "", REPT("*",Demo!$A65)&amp;""&amp;tblInputSheet[[#This Row],[Process]]), "")</f>
        <v>*********AOC Vendor Request Service</v>
      </c>
      <c r="G65" s="6" t="str">
        <f>IFERROR(IF(tblInputSheet[[#This Row],[Hosted Platform]] = "-", "", VLOOKUP(tblInputSheet[[#This Row],[Hosted Platform]], tblHosted_PlatformOwner[], 2,FALSE)), "")</f>
        <v>CC001</v>
      </c>
      <c r="H65" s="6" t="str">
        <f>IFERROR(IF(tblInputSheet[[#This Row],[Hosted Platform]] = "-", "", VLOOKUP(tblInputSheet[[#This Row],[Hosted Platform]], tblHosted_PlatformOwner[], 1,FALSE)), "")</f>
        <v>PCF</v>
      </c>
      <c r="I65" s="6" t="str">
        <f>IFERROR(IF(tblInputSheet[[#This Row],[Provider]] = "-", "", VLOOKUP(tblInputSheet[[#This Row],[Provider]], tblParticipants[], 2,FALSE)), "")</f>
        <v>PP001</v>
      </c>
      <c r="J65" s="6" t="str">
        <f>IFERROR(IF(tblInputSheet[[#This Row],[Provider]] = "-", "", VLOOKUP(tblInputSheet[[#This Row],[Provider]], tblParticipants[], 1,FALSE)), "")</f>
        <v>Key-Claims Adjudication</v>
      </c>
      <c r="K65" s="6" t="str">
        <f>IFERROR(IF(tblInputSheet[[#This Row],[Consumer]] = "-", "", VLOOKUP(tblInputSheet[[#This Row],[Consumer]], tblParticipants[], 2,FALSE)), "")</f>
        <v>PP001</v>
      </c>
      <c r="L65" s="6" t="str">
        <f>IFERROR(IF(tblInputSheet[[#This Row],[Consumer]] = "-", "", VLOOKUP(tblInputSheet[[#This Row],[Consumer]], tblParticipants[], 1,FALSE)), "")</f>
        <v>Key-Claims Adjudication</v>
      </c>
      <c r="M65" s="6" t="str">
        <f>IFERROR(IF(tblInputSheet[[#This Row],[Integration Pattern]] = "-", "", VLOOKUP(tblInputSheet[[#This Row],[Integration Pattern]], tblIntegrationPartten[], 2,FALSE)), "")</f>
        <v>IP002</v>
      </c>
      <c r="N65" s="6" t="str">
        <f>IFERROR(IF(tblInputSheet[[#This Row],[Integration Pattern]] = "-", "", VLOOKUP(tblInputSheet[[#This Row],[Integration Pattern]], tblIntegrationPartten[], 1,FALSE)), "")</f>
        <v xml:space="preserve">REST Service - MQ </v>
      </c>
      <c r="O65" s="6" t="str">
        <f>tblDisplaySheet[[#This Row],[Current State]]</f>
        <v>Y</v>
      </c>
      <c r="P65" s="6" t="str">
        <f>tblDisplaySheet[[#This Row],[Confidence Factor]]</f>
        <v>Low</v>
      </c>
      <c r="Q65" s="6">
        <f>tblDisplaySheet[[#This Row],[Count of Invocations]]</f>
        <v>1</v>
      </c>
      <c r="R65" s="6">
        <f>tblDisplaySheet[[#This Row],[DB Calls (ms)]]</f>
        <v>0</v>
      </c>
      <c r="S65" s="6">
        <f>tblDisplaySheet[[#This Row],[Logic (ms)]]</f>
        <v>20</v>
      </c>
      <c r="T65" s="6">
        <f>tblDisplaySheet[[#This Row],[Rules (ms)]]</f>
        <v>0</v>
      </c>
      <c r="U65" s="6">
        <f>tblDisplaySheet[[#This Row],[Latency (ms)]]</f>
        <v>15</v>
      </c>
      <c r="V65" s="6">
        <f>tblDisplaySheet[[#This Row],[Total Process Path Length]]</f>
        <v>35</v>
      </c>
      <c r="W65" s="6">
        <f>tblDisplaySheet[[#This Row],[Total Process Time]]</f>
        <v>35</v>
      </c>
      <c r="X65" s="6">
        <f>tblDisplaySheet[[#This Row],[Total Process Path Length]]</f>
        <v>35</v>
      </c>
      <c r="Y65" s="6">
        <f>tblDisplaySheet[[#This Row],[Process NFR]]</f>
        <v>50</v>
      </c>
      <c r="Z65" s="6">
        <f>tblDisplaySheet[[#This Row],[Total Process NFR]]</f>
        <v>50</v>
      </c>
      <c r="AA65" s="6">
        <f>tblDisplaySheet[[#This Row],[Total Process Path Length NFR]]</f>
        <v>50</v>
      </c>
      <c r="AB65" s="6" t="str">
        <f>tblDisplaySheet[[#This Row],[Status]]</f>
        <v>On Target</v>
      </c>
      <c r="AC65" s="6" t="str">
        <f>tblDisplaySheet[[#This Row],[Status]]</f>
        <v>On Target</v>
      </c>
      <c r="AD65" s="6" t="str">
        <f>tblDisplaySheet[[#This Row],[Is Leaf?]]</f>
        <v>Y</v>
      </c>
      <c r="AE65" s="6" t="str">
        <f>tblDisplaySheet[[#This Row],[Owner]]</f>
        <v>Alak</v>
      </c>
    </row>
    <row r="66" spans="1:31" x14ac:dyDescent="0.25">
      <c r="A66" s="6">
        <f>tblDisplaySheet[[#This Row],[Link]]</f>
        <v>50</v>
      </c>
      <c r="B66" s="6">
        <f>tblDisplaySheet[[#This Row],[Level]]</f>
        <v>9</v>
      </c>
      <c r="C66" s="6">
        <f>tblDisplaySheet[[#This Row],[Sl.No]]</f>
        <v>64</v>
      </c>
      <c r="D66" s="6" t="str">
        <f>tblDisplaySheet[[#This Row],[Group]]</f>
        <v>Service Level - Pricing Engine</v>
      </c>
      <c r="E66" s="6" t="str">
        <f>TEXT(tblInputSheet[[#This Row],[Sl.No]], "000")&amp; ":"&amp; tblInputSheet[[#This Row],[Process]]</f>
        <v>064:AOC Vendor Response Service</v>
      </c>
      <c r="F66" s="6" t="str">
        <f>IFERROR(IF(tblInputSheet[[#This Row],[Process]] = "", "", REPT("*",Demo!$A66)&amp;""&amp;tblInputSheet[[#This Row],[Process]]), "")</f>
        <v>*********AOC Vendor Response Service</v>
      </c>
      <c r="G66" s="6" t="str">
        <f>IFERROR(IF(tblInputSheet[[#This Row],[Hosted Platform]] = "-", "", VLOOKUP(tblInputSheet[[#This Row],[Hosted Platform]], tblHosted_PlatformOwner[], 2,FALSE)), "")</f>
        <v>CC001</v>
      </c>
      <c r="H66" s="6" t="str">
        <f>IFERROR(IF(tblInputSheet[[#This Row],[Hosted Platform]] = "-", "", VLOOKUP(tblInputSheet[[#This Row],[Hosted Platform]], tblHosted_PlatformOwner[], 1,FALSE)), "")</f>
        <v>PCF</v>
      </c>
      <c r="I66" s="6" t="str">
        <f>IFERROR(IF(tblInputSheet[[#This Row],[Provider]] = "-", "", VLOOKUP(tblInputSheet[[#This Row],[Provider]], tblParticipants[], 2,FALSE)), "")</f>
        <v>PP001</v>
      </c>
      <c r="J66" s="6" t="str">
        <f>IFERROR(IF(tblInputSheet[[#This Row],[Provider]] = "-", "", VLOOKUP(tblInputSheet[[#This Row],[Provider]], tblParticipants[], 1,FALSE)), "")</f>
        <v>Key-Claims Adjudication</v>
      </c>
      <c r="K66" s="6" t="str">
        <f>IFERROR(IF(tblInputSheet[[#This Row],[Consumer]] = "-", "", VLOOKUP(tblInputSheet[[#This Row],[Consumer]], tblParticipants[], 2,FALSE)), "")</f>
        <v>PP001</v>
      </c>
      <c r="L66" s="6" t="str">
        <f>IFERROR(IF(tblInputSheet[[#This Row],[Consumer]] = "-", "", VLOOKUP(tblInputSheet[[#This Row],[Consumer]], tblParticipants[], 1,FALSE)), "")</f>
        <v>Key-Claims Adjudication</v>
      </c>
      <c r="M66" s="6" t="str">
        <f>IFERROR(IF(tblInputSheet[[#This Row],[Integration Pattern]] = "-", "", VLOOKUP(tblInputSheet[[#This Row],[Integration Pattern]], tblIntegrationPartten[], 2,FALSE)), "")</f>
        <v>IP002</v>
      </c>
      <c r="N66" s="6" t="str">
        <f>IFERROR(IF(tblInputSheet[[#This Row],[Integration Pattern]] = "-", "", VLOOKUP(tblInputSheet[[#This Row],[Integration Pattern]], tblIntegrationPartten[], 1,FALSE)), "")</f>
        <v xml:space="preserve">REST Service - MQ </v>
      </c>
      <c r="O66" s="6" t="str">
        <f>tblDisplaySheet[[#This Row],[Current State]]</f>
        <v>Y</v>
      </c>
      <c r="P66" s="6" t="str">
        <f>tblDisplaySheet[[#This Row],[Confidence Factor]]</f>
        <v>Low</v>
      </c>
      <c r="Q66" s="6">
        <f>tblDisplaySheet[[#This Row],[Count of Invocations]]</f>
        <v>1</v>
      </c>
      <c r="R66" s="6">
        <f>tblDisplaySheet[[#This Row],[DB Calls (ms)]]</f>
        <v>0</v>
      </c>
      <c r="S66" s="6">
        <f>tblDisplaySheet[[#This Row],[Logic (ms)]]</f>
        <v>20</v>
      </c>
      <c r="T66" s="6">
        <f>tblDisplaySheet[[#This Row],[Rules (ms)]]</f>
        <v>0</v>
      </c>
      <c r="U66" s="6">
        <f>tblDisplaySheet[[#This Row],[Latency (ms)]]</f>
        <v>15</v>
      </c>
      <c r="V66" s="6">
        <f>tblDisplaySheet[[#This Row],[Total Process Path Length]]</f>
        <v>35</v>
      </c>
      <c r="W66" s="6">
        <f>tblDisplaySheet[[#This Row],[Total Process Time]]</f>
        <v>35</v>
      </c>
      <c r="X66" s="6">
        <f>tblDisplaySheet[[#This Row],[Total Process Path Length]]</f>
        <v>35</v>
      </c>
      <c r="Y66" s="6">
        <f>tblDisplaySheet[[#This Row],[Process NFR]]</f>
        <v>50</v>
      </c>
      <c r="Z66" s="6">
        <f>tblDisplaySheet[[#This Row],[Total Process NFR]]</f>
        <v>50</v>
      </c>
      <c r="AA66" s="6">
        <f>tblDisplaySheet[[#This Row],[Total Process Path Length NFR]]</f>
        <v>50</v>
      </c>
      <c r="AB66" s="6" t="str">
        <f>tblDisplaySheet[[#This Row],[Status]]</f>
        <v>On Target</v>
      </c>
      <c r="AC66" s="6" t="str">
        <f>tblDisplaySheet[[#This Row],[Status]]</f>
        <v>On Target</v>
      </c>
      <c r="AD66" s="6" t="str">
        <f>tblDisplaySheet[[#This Row],[Is Leaf?]]</f>
        <v>Y</v>
      </c>
      <c r="AE66" s="6" t="str">
        <f>tblDisplaySheet[[#This Row],[Owner]]</f>
        <v>Alak</v>
      </c>
    </row>
    <row r="67" spans="1:31" x14ac:dyDescent="0.25">
      <c r="A67" s="6">
        <f>tblDisplaySheet[[#This Row],[Link]]</f>
        <v>50</v>
      </c>
      <c r="B67" s="6">
        <f>tblDisplaySheet[[#This Row],[Level]]</f>
        <v>9</v>
      </c>
      <c r="C67" s="6">
        <f>tblDisplaySheet[[#This Row],[Sl.No]]</f>
        <v>65</v>
      </c>
      <c r="D67" s="6" t="str">
        <f>tblDisplaySheet[[#This Row],[Group]]</f>
        <v>Service Level - Pricing Engine</v>
      </c>
      <c r="E67" s="6" t="str">
        <f>TEXT(tblInputSheet[[#This Row],[Sl.No]], "000")&amp; ":"&amp; tblInputSheet[[#This Row],[Process]]</f>
        <v>065:TPL Microservice</v>
      </c>
      <c r="F67" s="6" t="str">
        <f>IFERROR(IF(tblInputSheet[[#This Row],[Process]] = "", "", REPT("*",Demo!$A67)&amp;""&amp;tblInputSheet[[#This Row],[Process]]), "")</f>
        <v>*********TPL Microservice</v>
      </c>
      <c r="G67" s="6" t="str">
        <f>IFERROR(IF(tblInputSheet[[#This Row],[Hosted Platform]] = "-", "", VLOOKUP(tblInputSheet[[#This Row],[Hosted Platform]], tblHosted_PlatformOwner[], 2,FALSE)), "")</f>
        <v>CC001</v>
      </c>
      <c r="H67" s="6" t="str">
        <f>IFERROR(IF(tblInputSheet[[#This Row],[Hosted Platform]] = "-", "", VLOOKUP(tblInputSheet[[#This Row],[Hosted Platform]], tblHosted_PlatformOwner[], 1,FALSE)), "")</f>
        <v>PCF</v>
      </c>
      <c r="I67" s="6" t="str">
        <f>IFERROR(IF(tblInputSheet[[#This Row],[Provider]] = "-", "", VLOOKUP(tblInputSheet[[#This Row],[Provider]], tblParticipants[], 2,FALSE)), "")</f>
        <v>PP001</v>
      </c>
      <c r="J67" s="6" t="str">
        <f>IFERROR(IF(tblInputSheet[[#This Row],[Provider]] = "-", "", VLOOKUP(tblInputSheet[[#This Row],[Provider]], tblParticipants[], 1,FALSE)), "")</f>
        <v>Key-Claims Adjudication</v>
      </c>
      <c r="K67" s="6" t="str">
        <f>IFERROR(IF(tblInputSheet[[#This Row],[Consumer]] = "-", "", VLOOKUP(tblInputSheet[[#This Row],[Consumer]], tblParticipants[], 2,FALSE)), "")</f>
        <v>PP001</v>
      </c>
      <c r="L67" s="6" t="str">
        <f>IFERROR(IF(tblInputSheet[[#This Row],[Consumer]] = "-", "", VLOOKUP(tblInputSheet[[#This Row],[Consumer]], tblParticipants[], 1,FALSE)), "")</f>
        <v>Key-Claims Adjudication</v>
      </c>
      <c r="M67" s="6" t="str">
        <f>IFERROR(IF(tblInputSheet[[#This Row],[Integration Pattern]] = "-", "", VLOOKUP(tblInputSheet[[#This Row],[Integration Pattern]], tblIntegrationPartten[], 2,FALSE)), "")</f>
        <v>IP006</v>
      </c>
      <c r="N67" s="6" t="str">
        <f>IFERROR(IF(tblInputSheet[[#This Row],[Integration Pattern]] = "-", "", VLOOKUP(tblInputSheet[[#This Row],[Integration Pattern]], tblIntegrationPartten[], 1,FALSE)), "")</f>
        <v>REST Service - ESB</v>
      </c>
      <c r="O67" s="6" t="str">
        <f>tblDisplaySheet[[#This Row],[Current State]]</f>
        <v>Y</v>
      </c>
      <c r="P67" s="6" t="str">
        <f>tblDisplaySheet[[#This Row],[Confidence Factor]]</f>
        <v>Low</v>
      </c>
      <c r="Q67" s="6">
        <f>tblDisplaySheet[[#This Row],[Count of Invocations]]</f>
        <v>1</v>
      </c>
      <c r="R67" s="6">
        <f>tblDisplaySheet[[#This Row],[DB Calls (ms)]]</f>
        <v>0</v>
      </c>
      <c r="S67" s="6">
        <f>tblDisplaySheet[[#This Row],[Logic (ms)]]</f>
        <v>20</v>
      </c>
      <c r="T67" s="6">
        <f>tblDisplaySheet[[#This Row],[Rules (ms)]]</f>
        <v>0</v>
      </c>
      <c r="U67" s="6">
        <f>tblDisplaySheet[[#This Row],[Latency (ms)]]</f>
        <v>25</v>
      </c>
      <c r="V67" s="6">
        <f>tblDisplaySheet[[#This Row],[Total Process Path Length]]</f>
        <v>466</v>
      </c>
      <c r="W67" s="6">
        <f>tblDisplaySheet[[#This Row],[Total Process Time]]</f>
        <v>45</v>
      </c>
      <c r="X67" s="6">
        <f>tblDisplaySheet[[#This Row],[Total Process Path Length]]</f>
        <v>466</v>
      </c>
      <c r="Y67" s="6">
        <f>tblDisplaySheet[[#This Row],[Process NFR]]</f>
        <v>50</v>
      </c>
      <c r="Z67" s="6">
        <f>tblDisplaySheet[[#This Row],[Total Process NFR]]</f>
        <v>50</v>
      </c>
      <c r="AA67" s="6">
        <f>tblDisplaySheet[[#This Row],[Total Process Path Length NFR]]</f>
        <v>476</v>
      </c>
      <c r="AB67" s="6" t="str">
        <f>tblDisplaySheet[[#This Row],[Status]]</f>
        <v>On Target</v>
      </c>
      <c r="AC67" s="6" t="str">
        <f>tblDisplaySheet[[#This Row],[Status]]</f>
        <v>On Target</v>
      </c>
      <c r="AD67" s="6" t="str">
        <f>tblDisplaySheet[[#This Row],[Is Leaf?]]</f>
        <v>N</v>
      </c>
      <c r="AE67" s="6" t="str">
        <f>tblDisplaySheet[[#This Row],[Owner]]</f>
        <v>Alak</v>
      </c>
    </row>
    <row r="68" spans="1:31" x14ac:dyDescent="0.25">
      <c r="A68" s="6">
        <f>tblDisplaySheet[[#This Row],[Link]]</f>
        <v>65</v>
      </c>
      <c r="B68" s="6">
        <f>tblDisplaySheet[[#This Row],[Level]]</f>
        <v>10</v>
      </c>
      <c r="C68" s="6">
        <f>tblDisplaySheet[[#This Row],[Sl.No]]</f>
        <v>66</v>
      </c>
      <c r="D68" s="6" t="str">
        <f>tblDisplaySheet[[#This Row],[Group]]</f>
        <v>Service Level - Pricing Engine</v>
      </c>
      <c r="E68" s="6" t="str">
        <f>TEXT(tblInputSheet[[#This Row],[Sl.No]], "000")&amp; ":"&amp; tblInputSheet[[#This Row],[Process]]</f>
        <v>066:Contract API</v>
      </c>
      <c r="F68" s="6" t="str">
        <f>IFERROR(IF(tblInputSheet[[#This Row],[Process]] = "", "", REPT("*",Demo!$A68)&amp;""&amp;tblInputSheet[[#This Row],[Process]]), "")</f>
        <v>**********Contract API</v>
      </c>
      <c r="G68" s="6" t="str">
        <f>IFERROR(IF(tblInputSheet[[#This Row],[Hosted Platform]] = "-", "", VLOOKUP(tblInputSheet[[#This Row],[Hosted Platform]], tblHosted_PlatformOwner[], 2,FALSE)), "")</f>
        <v>CC001</v>
      </c>
      <c r="H68" s="6" t="str">
        <f>IFERROR(IF(tblInputSheet[[#This Row],[Hosted Platform]] = "-", "", VLOOKUP(tblInputSheet[[#This Row],[Hosted Platform]], tblHosted_PlatformOwner[], 1,FALSE)), "")</f>
        <v>PCF</v>
      </c>
      <c r="I68" s="6" t="str">
        <f>IFERROR(IF(tblInputSheet[[#This Row],[Provider]] = "-", "", VLOOKUP(tblInputSheet[[#This Row],[Provider]], tblParticipants[], 2,FALSE)), "")</f>
        <v>PP001</v>
      </c>
      <c r="J68" s="6" t="str">
        <f>IFERROR(IF(tblInputSheet[[#This Row],[Provider]] = "-", "", VLOOKUP(tblInputSheet[[#This Row],[Provider]], tblParticipants[], 1,FALSE)), "")</f>
        <v>Key-Claims Adjudication</v>
      </c>
      <c r="K68" s="6" t="str">
        <f>IFERROR(IF(tblInputSheet[[#This Row],[Consumer]] = "-", "", VLOOKUP(tblInputSheet[[#This Row],[Consumer]], tblParticipants[], 2,FALSE)), "")</f>
        <v>PP001</v>
      </c>
      <c r="L68" s="6" t="str">
        <f>IFERROR(IF(tblInputSheet[[#This Row],[Consumer]] = "-", "", VLOOKUP(tblInputSheet[[#This Row],[Consumer]], tblParticipants[], 1,FALSE)), "")</f>
        <v>Key-Claims Adjudication</v>
      </c>
      <c r="M68" s="6" t="str">
        <f>IFERROR(IF(tblInputSheet[[#This Row],[Integration Pattern]] = "-", "", VLOOKUP(tblInputSheet[[#This Row],[Integration Pattern]], tblIntegrationPartten[], 2,FALSE)), "")</f>
        <v>IP001</v>
      </c>
      <c r="N68" s="6" t="str">
        <f>IFERROR(IF(tblInputSheet[[#This Row],[Integration Pattern]] = "-", "", VLOOKUP(tblInputSheet[[#This Row],[Integration Pattern]], tblIntegrationPartten[], 1,FALSE)), "")</f>
        <v>PCF Internal (C-to-C)</v>
      </c>
      <c r="O68" s="6" t="str">
        <f>tblDisplaySheet[[#This Row],[Current State]]</f>
        <v>Y</v>
      </c>
      <c r="P68" s="6" t="str">
        <f>tblDisplaySheet[[#This Row],[Confidence Factor]]</f>
        <v>Medium</v>
      </c>
      <c r="Q68" s="6">
        <f>tblDisplaySheet[[#This Row],[Count of Invocations]]</f>
        <v>1</v>
      </c>
      <c r="R68" s="6">
        <f>tblDisplaySheet[[#This Row],[DB Calls (ms)]]</f>
        <v>5</v>
      </c>
      <c r="S68" s="6">
        <f>tblDisplaySheet[[#This Row],[Logic (ms)]]</f>
        <v>30</v>
      </c>
      <c r="T68" s="6">
        <f>tblDisplaySheet[[#This Row],[Rules (ms)]]</f>
        <v>0</v>
      </c>
      <c r="U68" s="6">
        <f>tblDisplaySheet[[#This Row],[Latency (ms)]]</f>
        <v>10</v>
      </c>
      <c r="V68" s="6">
        <f>tblDisplaySheet[[#This Row],[Total Process Path Length]]</f>
        <v>45</v>
      </c>
      <c r="W68" s="6">
        <f>tblDisplaySheet[[#This Row],[Total Process Time]]</f>
        <v>45</v>
      </c>
      <c r="X68" s="6">
        <f>tblDisplaySheet[[#This Row],[Total Process Path Length]]</f>
        <v>45</v>
      </c>
      <c r="Y68" s="6">
        <f>tblDisplaySheet[[#This Row],[Process NFR]]</f>
        <v>50</v>
      </c>
      <c r="Z68" s="6">
        <f>tblDisplaySheet[[#This Row],[Total Process NFR]]</f>
        <v>50</v>
      </c>
      <c r="AA68" s="6">
        <f>tblDisplaySheet[[#This Row],[Total Process Path Length NFR]]</f>
        <v>50</v>
      </c>
      <c r="AB68" s="6" t="str">
        <f>tblDisplaySheet[[#This Row],[Status]]</f>
        <v>On Target</v>
      </c>
      <c r="AC68" s="6" t="str">
        <f>tblDisplaySheet[[#This Row],[Status]]</f>
        <v>On Target</v>
      </c>
      <c r="AD68" s="6" t="str">
        <f>tblDisplaySheet[[#This Row],[Is Leaf?]]</f>
        <v>Y</v>
      </c>
      <c r="AE68" s="6" t="str">
        <f>tblDisplaySheet[[#This Row],[Owner]]</f>
        <v>Greg</v>
      </c>
    </row>
    <row r="69" spans="1:31" x14ac:dyDescent="0.25">
      <c r="A69" s="6">
        <f>tblDisplaySheet[[#This Row],[Link]]</f>
        <v>65</v>
      </c>
      <c r="B69" s="6">
        <f>tblDisplaySheet[[#This Row],[Level]]</f>
        <v>10</v>
      </c>
      <c r="C69" s="6">
        <f>tblDisplaySheet[[#This Row],[Sl.No]]</f>
        <v>67</v>
      </c>
      <c r="D69" s="6" t="str">
        <f>tblDisplaySheet[[#This Row],[Group]]</f>
        <v>Service Level - Pricing Engine</v>
      </c>
      <c r="E69" s="6" t="str">
        <f>TEXT(tblInputSheet[[#This Row],[Sl.No]], "000")&amp; ":"&amp; tblInputSheet[[#This Row],[Process]]</f>
        <v>067:TPL Mule Adapter</v>
      </c>
      <c r="F69" s="6" t="str">
        <f>IFERROR(IF(tblInputSheet[[#This Row],[Process]] = "", "", REPT("*",Demo!$A69)&amp;""&amp;tblInputSheet[[#This Row],[Process]]), "")</f>
        <v>**********TPL Mule Adapter</v>
      </c>
      <c r="G69" s="6" t="str">
        <f>IFERROR(IF(tblInputSheet[[#This Row],[Hosted Platform]] = "-", "", VLOOKUP(tblInputSheet[[#This Row],[Hosted Platform]], tblHosted_PlatformOwner[], 2,FALSE)), "")</f>
        <v>CC002</v>
      </c>
      <c r="H69" s="6" t="str">
        <f>IFERROR(IF(tblInputSheet[[#This Row],[Hosted Platform]] = "-", "", VLOOKUP(tblInputSheet[[#This Row],[Hosted Platform]], tblHosted_PlatformOwner[], 1,FALSE)), "")</f>
        <v>Mule ESB</v>
      </c>
      <c r="I69" s="6" t="str">
        <f>IFERROR(IF(tblInputSheet[[#This Row],[Provider]] = "-", "", VLOOKUP(tblInputSheet[[#This Row],[Provider]], tblParticipants[], 2,FALSE)), "")</f>
        <v>PP001</v>
      </c>
      <c r="J69" s="6" t="str">
        <f>IFERROR(IF(tblInputSheet[[#This Row],[Provider]] = "-", "", VLOOKUP(tblInputSheet[[#This Row],[Provider]], tblParticipants[], 1,FALSE)), "")</f>
        <v>Key-Claims Adjudication</v>
      </c>
      <c r="K69" s="6" t="str">
        <f>IFERROR(IF(tblInputSheet[[#This Row],[Consumer]] = "-", "", VLOOKUP(tblInputSheet[[#This Row],[Consumer]], tblParticipants[], 2,FALSE)), "")</f>
        <v>PP014</v>
      </c>
      <c r="L69" s="6" t="str">
        <f>IFERROR(IF(tblInputSheet[[#This Row],[Consumer]] = "-", "", VLOOKUP(tblInputSheet[[#This Row],[Consumer]], tblParticipants[], 1,FALSE)), "")</f>
        <v>Other</v>
      </c>
      <c r="M69" s="6" t="str">
        <f>IFERROR(IF(tblInputSheet[[#This Row],[Integration Pattern]] = "-", "", VLOOKUP(tblInputSheet[[#This Row],[Integration Pattern]], tblIntegrationPartten[], 2,FALSE)), "")</f>
        <v>IP004</v>
      </c>
      <c r="N69" s="6" t="str">
        <f>IFERROR(IF(tblInputSheet[[#This Row],[Integration Pattern]] = "-", "", VLOOKUP(tblInputSheet[[#This Row],[Integration Pattern]], tblIntegrationPartten[], 1,FALSE)), "")</f>
        <v>ESB - CTG Integration</v>
      </c>
      <c r="O69" s="6" t="str">
        <f>tblDisplaySheet[[#This Row],[Current State]]</f>
        <v>Y</v>
      </c>
      <c r="P69" s="6" t="str">
        <f>tblDisplaySheet[[#This Row],[Confidence Factor]]</f>
        <v>Low</v>
      </c>
      <c r="Q69" s="6">
        <f>tblDisplaySheet[[#This Row],[Count of Invocations]]</f>
        <v>1</v>
      </c>
      <c r="R69" s="6">
        <f>tblDisplaySheet[[#This Row],[DB Calls (ms)]]</f>
        <v>0</v>
      </c>
      <c r="S69" s="6">
        <f>tblDisplaySheet[[#This Row],[Logic (ms)]]</f>
        <v>70</v>
      </c>
      <c r="T69" s="6">
        <f>tblDisplaySheet[[#This Row],[Rules (ms)]]</f>
        <v>0</v>
      </c>
      <c r="U69" s="6">
        <f>tblDisplaySheet[[#This Row],[Latency (ms)]]</f>
        <v>55</v>
      </c>
      <c r="V69" s="6">
        <f>tblDisplaySheet[[#This Row],[Total Process Path Length]]</f>
        <v>376</v>
      </c>
      <c r="W69" s="6">
        <f>tblDisplaySheet[[#This Row],[Total Process Time]]</f>
        <v>125</v>
      </c>
      <c r="X69" s="6">
        <f>tblDisplaySheet[[#This Row],[Total Process Path Length]]</f>
        <v>376</v>
      </c>
      <c r="Y69" s="6">
        <f>tblDisplaySheet[[#This Row],[Process NFR]]</f>
        <v>125</v>
      </c>
      <c r="Z69" s="6">
        <f>tblDisplaySheet[[#This Row],[Total Process NFR]]</f>
        <v>125</v>
      </c>
      <c r="AA69" s="6">
        <f>tblDisplaySheet[[#This Row],[Total Process Path Length NFR]]</f>
        <v>376</v>
      </c>
      <c r="AB69" s="6" t="str">
        <f>tblDisplaySheet[[#This Row],[Status]]</f>
        <v>On Target</v>
      </c>
      <c r="AC69" s="6" t="str">
        <f>tblDisplaySheet[[#This Row],[Status]]</f>
        <v>On Target</v>
      </c>
      <c r="AD69" s="6" t="str">
        <f>tblDisplaySheet[[#This Row],[Is Leaf?]]</f>
        <v>N</v>
      </c>
      <c r="AE69" s="6" t="str">
        <f>tblDisplaySheet[[#This Row],[Owner]]</f>
        <v>Alak</v>
      </c>
    </row>
    <row r="70" spans="1:31" x14ac:dyDescent="0.25">
      <c r="A70" s="6">
        <f>tblDisplaySheet[[#This Row],[Link]]</f>
        <v>67</v>
      </c>
      <c r="B70" s="6">
        <f>tblDisplaySheet[[#This Row],[Level]]</f>
        <v>11</v>
      </c>
      <c r="C70" s="6">
        <f>tblDisplaySheet[[#This Row],[Sl.No]]</f>
        <v>68</v>
      </c>
      <c r="D70" s="6" t="str">
        <f>tblDisplaySheet[[#This Row],[Group]]</f>
        <v>Service Level - Pricing Engine</v>
      </c>
      <c r="E70" s="6" t="str">
        <f>TEXT(tblInputSheet[[#This Row],[Sl.No]], "000")&amp; ":"&amp; tblInputSheet[[#This Row],[Process]]</f>
        <v>068:Invoker</v>
      </c>
      <c r="F70" s="6" t="str">
        <f>IFERROR(IF(tblInputSheet[[#This Row],[Process]] = "", "", REPT("*",Demo!$A70)&amp;""&amp;tblInputSheet[[#This Row],[Process]]), "")</f>
        <v>***********Invoker</v>
      </c>
      <c r="G70" s="6" t="str">
        <f>IFERROR(IF(tblInputSheet[[#This Row],[Hosted Platform]] = "-", "", VLOOKUP(tblInputSheet[[#This Row],[Hosted Platform]], tblHosted_PlatformOwner[], 2,FALSE)), "")</f>
        <v>CC004</v>
      </c>
      <c r="H70" s="6" t="str">
        <f>IFERROR(IF(tblInputSheet[[#This Row],[Hosted Platform]] = "-", "", VLOOKUP(tblInputSheet[[#This Row],[Hosted Platform]], tblHosted_PlatformOwner[], 1,FALSE)), "")</f>
        <v>Legacy BC</v>
      </c>
      <c r="I70" s="6" t="str">
        <f>IFERROR(IF(tblInputSheet[[#This Row],[Provider]] = "-", "", VLOOKUP(tblInputSheet[[#This Row],[Provider]], tblParticipants[], 2,FALSE)), "")</f>
        <v>PP004</v>
      </c>
      <c r="J70" s="6" t="str">
        <f>IFERROR(IF(tblInputSheet[[#This Row],[Provider]] = "-", "", VLOOKUP(tblInputSheet[[#This Row],[Provider]], tblParticipants[], 1,FALSE)), "")</f>
        <v>Claims-Legacy</v>
      </c>
      <c r="K70" s="6" t="str">
        <f>IFERROR(IF(tblInputSheet[[#This Row],[Consumer]] = "-", "", VLOOKUP(tblInputSheet[[#This Row],[Consumer]], tblParticipants[], 2,FALSE)), "")</f>
        <v>PP004</v>
      </c>
      <c r="L70" s="6" t="str">
        <f>IFERROR(IF(tblInputSheet[[#This Row],[Consumer]] = "-", "", VLOOKUP(tblInputSheet[[#This Row],[Consumer]], tblParticipants[], 1,FALSE)), "")</f>
        <v>Claims-Legacy</v>
      </c>
      <c r="M70" s="6" t="str">
        <f>IFERROR(IF(tblInputSheet[[#This Row],[Integration Pattern]] = "-", "", VLOOKUP(tblInputSheet[[#This Row],[Integration Pattern]], tblIntegrationPartten[], 2,FALSE)), "")</f>
        <v>IP010</v>
      </c>
      <c r="N70" s="6" t="str">
        <f>IFERROR(IF(tblInputSheet[[#This Row],[Integration Pattern]] = "-", "", VLOOKUP(tblInputSheet[[#This Row],[Integration Pattern]], tblIntegrationPartten[], 1,FALSE)), "")</f>
        <v>BC Internal</v>
      </c>
      <c r="O70" s="6" t="str">
        <f>tblDisplaySheet[[#This Row],[Current State]]</f>
        <v>Y</v>
      </c>
      <c r="P70" s="6" t="str">
        <f>tblDisplaySheet[[#This Row],[Confidence Factor]]</f>
        <v>Medium</v>
      </c>
      <c r="Q70" s="6">
        <f>tblDisplaySheet[[#This Row],[Count of Invocations]]</f>
        <v>1</v>
      </c>
      <c r="R70" s="6">
        <f>tblDisplaySheet[[#This Row],[DB Calls (ms)]]</f>
        <v>0</v>
      </c>
      <c r="S70" s="6">
        <f>tblDisplaySheet[[#This Row],[Logic (ms)]]</f>
        <v>1</v>
      </c>
      <c r="T70" s="6">
        <f>tblDisplaySheet[[#This Row],[Rules (ms)]]</f>
        <v>0</v>
      </c>
      <c r="U70" s="6">
        <f>tblDisplaySheet[[#This Row],[Latency (ms)]]</f>
        <v>0</v>
      </c>
      <c r="V70" s="6">
        <f>tblDisplaySheet[[#This Row],[Total Process Path Length]]</f>
        <v>251</v>
      </c>
      <c r="W70" s="6">
        <f>tblDisplaySheet[[#This Row],[Total Process Time]]</f>
        <v>1</v>
      </c>
      <c r="X70" s="6">
        <f>tblDisplaySheet[[#This Row],[Total Process Path Length]]</f>
        <v>251</v>
      </c>
      <c r="Y70" s="6">
        <f>tblDisplaySheet[[#This Row],[Process NFR]]</f>
        <v>1</v>
      </c>
      <c r="Z70" s="6">
        <f>tblDisplaySheet[[#This Row],[Total Process NFR]]</f>
        <v>1</v>
      </c>
      <c r="AA70" s="6">
        <f>tblDisplaySheet[[#This Row],[Total Process Path Length NFR]]</f>
        <v>251</v>
      </c>
      <c r="AB70" s="6" t="str">
        <f>tblDisplaySheet[[#This Row],[Status]]</f>
        <v>On Target</v>
      </c>
      <c r="AC70" s="6" t="str">
        <f>tblDisplaySheet[[#This Row],[Status]]</f>
        <v>On Target</v>
      </c>
      <c r="AD70" s="6" t="str">
        <f>tblDisplaySheet[[#This Row],[Is Leaf?]]</f>
        <v>N</v>
      </c>
      <c r="AE70" s="6" t="str">
        <f>tblDisplaySheet[[#This Row],[Owner]]</f>
        <v>Alak</v>
      </c>
    </row>
    <row r="71" spans="1:31" x14ac:dyDescent="0.25">
      <c r="A71" s="6">
        <f>tblDisplaySheet[[#This Row],[Link]]</f>
        <v>68</v>
      </c>
      <c r="B71" s="6">
        <f>tblDisplaySheet[[#This Row],[Level]]</f>
        <v>12</v>
      </c>
      <c r="C71" s="6">
        <f>tblDisplaySheet[[#This Row],[Sl.No]]</f>
        <v>69</v>
      </c>
      <c r="D71" s="6" t="str">
        <f>tblDisplaySheet[[#This Row],[Group]]</f>
        <v>Service Level - Pricing Engine</v>
      </c>
      <c r="E71" s="6" t="str">
        <f>TEXT(tblInputSheet[[#This Row],[Sl.No]], "000")&amp; ":"&amp; tblInputSheet[[#This Row],[Process]]</f>
        <v>069:TPL Legacy Module</v>
      </c>
      <c r="F71" s="6" t="str">
        <f>IFERROR(IF(tblInputSheet[[#This Row],[Process]] = "", "", REPT("*",Demo!$A71)&amp;""&amp;tblInputSheet[[#This Row],[Process]]), "")</f>
        <v>************TPL Legacy Module</v>
      </c>
      <c r="G71" s="6" t="str">
        <f>IFERROR(IF(tblInputSheet[[#This Row],[Hosted Platform]] = "-", "", VLOOKUP(tblInputSheet[[#This Row],[Hosted Platform]], tblHosted_PlatformOwner[], 2,FALSE)), "")</f>
        <v>CC004</v>
      </c>
      <c r="H71" s="6" t="str">
        <f>IFERROR(IF(tblInputSheet[[#This Row],[Hosted Platform]] = "-", "", VLOOKUP(tblInputSheet[[#This Row],[Hosted Platform]], tblHosted_PlatformOwner[], 1,FALSE)), "")</f>
        <v>Legacy BC</v>
      </c>
      <c r="I71" s="6" t="str">
        <f>IFERROR(IF(tblInputSheet[[#This Row],[Provider]] = "-", "", VLOOKUP(tblInputSheet[[#This Row],[Provider]], tblParticipants[], 2,FALSE)), "")</f>
        <v>PP004</v>
      </c>
      <c r="J71" s="6" t="str">
        <f>IFERROR(IF(tblInputSheet[[#This Row],[Provider]] = "-", "", VLOOKUP(tblInputSheet[[#This Row],[Provider]], tblParticipants[], 1,FALSE)), "")</f>
        <v>Claims-Legacy</v>
      </c>
      <c r="K71" s="6" t="str">
        <f>IFERROR(IF(tblInputSheet[[#This Row],[Consumer]] = "-", "", VLOOKUP(tblInputSheet[[#This Row],[Consumer]], tblParticipants[], 2,FALSE)), "")</f>
        <v>PP004</v>
      </c>
      <c r="L71" s="6" t="str">
        <f>IFERROR(IF(tblInputSheet[[#This Row],[Consumer]] = "-", "", VLOOKUP(tblInputSheet[[#This Row],[Consumer]], tblParticipants[], 1,FALSE)), "")</f>
        <v>Claims-Legacy</v>
      </c>
      <c r="M71" s="6" t="str">
        <f>IFERROR(IF(tblInputSheet[[#This Row],[Integration Pattern]] = "-", "", VLOOKUP(tblInputSheet[[#This Row],[Integration Pattern]], tblIntegrationPartten[], 2,FALSE)), "")</f>
        <v>IP010</v>
      </c>
      <c r="N71" s="6" t="str">
        <f>IFERROR(IF(tblInputSheet[[#This Row],[Integration Pattern]] = "-", "", VLOOKUP(tblInputSheet[[#This Row],[Integration Pattern]], tblIntegrationPartten[], 1,FALSE)), "")</f>
        <v>BC Internal</v>
      </c>
      <c r="O71" s="6" t="str">
        <f>tblDisplaySheet[[#This Row],[Current State]]</f>
        <v>Y</v>
      </c>
      <c r="P71" s="6" t="str">
        <f>tblDisplaySheet[[#This Row],[Confidence Factor]]</f>
        <v>Low</v>
      </c>
      <c r="Q71" s="6">
        <f>tblDisplaySheet[[#This Row],[Count of Invocations]]</f>
        <v>1</v>
      </c>
      <c r="R71" s="6">
        <f>tblDisplaySheet[[#This Row],[DB Calls (ms)]]</f>
        <v>0</v>
      </c>
      <c r="S71" s="6">
        <f>tblDisplaySheet[[#This Row],[Logic (ms)]]</f>
        <v>225</v>
      </c>
      <c r="T71" s="6">
        <f>tblDisplaySheet[[#This Row],[Rules (ms)]]</f>
        <v>0</v>
      </c>
      <c r="U71" s="6">
        <f>tblDisplaySheet[[#This Row],[Latency (ms)]]</f>
        <v>25</v>
      </c>
      <c r="V71" s="6">
        <f>tblDisplaySheet[[#This Row],[Total Process Path Length]]</f>
        <v>250</v>
      </c>
      <c r="W71" s="6">
        <f>tblDisplaySheet[[#This Row],[Total Process Time]]</f>
        <v>250</v>
      </c>
      <c r="X71" s="6">
        <f>tblDisplaySheet[[#This Row],[Total Process Path Length]]</f>
        <v>250</v>
      </c>
      <c r="Y71" s="6">
        <f>tblDisplaySheet[[#This Row],[Process NFR]]</f>
        <v>250</v>
      </c>
      <c r="Z71" s="6">
        <f>tblDisplaySheet[[#This Row],[Total Process NFR]]</f>
        <v>250</v>
      </c>
      <c r="AA71" s="6">
        <f>tblDisplaySheet[[#This Row],[Total Process Path Length NFR]]</f>
        <v>250</v>
      </c>
      <c r="AB71" s="6" t="str">
        <f>tblDisplaySheet[[#This Row],[Status]]</f>
        <v>On Target</v>
      </c>
      <c r="AC71" s="6" t="str">
        <f>tblDisplaySheet[[#This Row],[Status]]</f>
        <v>On Target</v>
      </c>
      <c r="AD71" s="6" t="str">
        <f>tblDisplaySheet[[#This Row],[Is Leaf?]]</f>
        <v>Y</v>
      </c>
      <c r="AE71" s="6" t="str">
        <f>tblDisplaySheet[[#This Row],[Owner]]</f>
        <v>Alak</v>
      </c>
    </row>
    <row r="72" spans="1:31" x14ac:dyDescent="0.25">
      <c r="A72" s="6">
        <f>tblDisplaySheet[[#This Row],[Link]]</f>
        <v>24</v>
      </c>
      <c r="B72" s="6">
        <f>tblDisplaySheet[[#This Row],[Level]]</f>
        <v>7</v>
      </c>
      <c r="C72" s="6">
        <f>tblDisplaySheet[[#This Row],[Sl.No]]</f>
        <v>70</v>
      </c>
      <c r="D72" s="6" t="str">
        <f>tblDisplaySheet[[#This Row],[Group]]</f>
        <v>Service Level - Accums</v>
      </c>
      <c r="E72" s="6" t="str">
        <f>TEXT(tblInputSheet[[#This Row],[Sl.No]], "000")&amp; ":"&amp; tblInputSheet[[#This Row],[Process]]</f>
        <v>070:Accums</v>
      </c>
      <c r="F72" s="6" t="str">
        <f>IFERROR(IF(tblInputSheet[[#This Row],[Process]] = "", "", REPT("*",Demo!$A72)&amp;""&amp;tblInputSheet[[#This Row],[Process]]), "")</f>
        <v>*******Accums</v>
      </c>
      <c r="G72" s="6" t="str">
        <f>IFERROR(IF(tblInputSheet[[#This Row],[Hosted Platform]] = "-", "", VLOOKUP(tblInputSheet[[#This Row],[Hosted Platform]], tblHosted_PlatformOwner[], 2,FALSE)), "")</f>
        <v>CC000</v>
      </c>
      <c r="H72" s="6" t="str">
        <f>IFERROR(IF(tblInputSheet[[#This Row],[Hosted Platform]] = "-", "", VLOOKUP(tblInputSheet[[#This Row],[Hosted Platform]], tblHosted_PlatformOwner[], 1,FALSE)), "")</f>
        <v>Business Process</v>
      </c>
      <c r="I72" s="6" t="str">
        <f>IFERROR(IF(tblInputSheet[[#This Row],[Provider]] = "-", "", VLOOKUP(tblInputSheet[[#This Row],[Provider]], tblParticipants[], 2,FALSE)), "")</f>
        <v>PP000</v>
      </c>
      <c r="J72" s="6" t="str">
        <f>IFERROR(IF(tblInputSheet[[#This Row],[Provider]] = "-", "", VLOOKUP(tblInputSheet[[#This Row],[Provider]], tblParticipants[], 1,FALSE)), "")</f>
        <v>NA</v>
      </c>
      <c r="K72" s="6" t="str">
        <f>IFERROR(IF(tblInputSheet[[#This Row],[Consumer]] = "-", "", VLOOKUP(tblInputSheet[[#This Row],[Consumer]], tblParticipants[], 2,FALSE)), "")</f>
        <v>PP000</v>
      </c>
      <c r="L72" s="6" t="str">
        <f>IFERROR(IF(tblInputSheet[[#This Row],[Consumer]] = "-", "", VLOOKUP(tblInputSheet[[#This Row],[Consumer]], tblParticipants[], 1,FALSE)), "")</f>
        <v>NA</v>
      </c>
      <c r="M72" s="6" t="str">
        <f>IFERROR(IF(tblInputSheet[[#This Row],[Integration Pattern]] = "-", "", VLOOKUP(tblInputSheet[[#This Row],[Integration Pattern]], tblIntegrationPartten[], 2,FALSE)), "")</f>
        <v>IP000</v>
      </c>
      <c r="N72" s="6" t="str">
        <f>IFERROR(IF(tblInputSheet[[#This Row],[Integration Pattern]] = "-", "", VLOOKUP(tblInputSheet[[#This Row],[Integration Pattern]], tblIntegrationPartten[], 1,FALSE)), "")</f>
        <v>Group</v>
      </c>
      <c r="O72" s="6" t="str">
        <f>tblDisplaySheet[[#This Row],[Current State]]</f>
        <v>Y</v>
      </c>
      <c r="P72" s="6" t="str">
        <f>tblDisplaySheet[[#This Row],[Confidence Factor]]</f>
        <v>Group</v>
      </c>
      <c r="Q72" s="6">
        <f>tblDisplaySheet[[#This Row],[Count of Invocations]]</f>
        <v>1</v>
      </c>
      <c r="R72" s="6">
        <f>tblDisplaySheet[[#This Row],[DB Calls (ms)]]</f>
        <v>0</v>
      </c>
      <c r="S72" s="6">
        <f>tblDisplaySheet[[#This Row],[Logic (ms)]]</f>
        <v>0</v>
      </c>
      <c r="T72" s="6">
        <f>tblDisplaySheet[[#This Row],[Rules (ms)]]</f>
        <v>0</v>
      </c>
      <c r="U72" s="6">
        <f>tblDisplaySheet[[#This Row],[Latency (ms)]]</f>
        <v>0</v>
      </c>
      <c r="V72" s="6">
        <f>tblDisplaySheet[[#This Row],[Total Process Path Length]]</f>
        <v>297</v>
      </c>
      <c r="W72" s="6">
        <f>tblDisplaySheet[[#This Row],[Total Process Time]]</f>
        <v>0</v>
      </c>
      <c r="X72" s="6">
        <f>tblDisplaySheet[[#This Row],[Total Process Path Length]]</f>
        <v>297</v>
      </c>
      <c r="Y72" s="6">
        <f>tblDisplaySheet[[#This Row],[Process NFR]]</f>
        <v>0</v>
      </c>
      <c r="Z72" s="6">
        <f>tblDisplaySheet[[#This Row],[Total Process NFR]]</f>
        <v>0</v>
      </c>
      <c r="AA72" s="6">
        <f>tblDisplaySheet[[#This Row],[Total Process Path Length NFR]]</f>
        <v>400</v>
      </c>
      <c r="AB72" s="6" t="str">
        <f>tblDisplaySheet[[#This Row],[Status]]</f>
        <v>On Target</v>
      </c>
      <c r="AC72" s="6" t="str">
        <f>tblDisplaySheet[[#This Row],[Status]]</f>
        <v>On Target</v>
      </c>
      <c r="AD72" s="6" t="str">
        <f>tblDisplaySheet[[#This Row],[Is Leaf?]]</f>
        <v>G</v>
      </c>
      <c r="AE72" s="6" t="str">
        <f>tblDisplaySheet[[#This Row],[Owner]]</f>
        <v>Sankar</v>
      </c>
    </row>
    <row r="73" spans="1:31" x14ac:dyDescent="0.25">
      <c r="A73" s="6">
        <f>tblDisplaySheet[[#This Row],[Link]]</f>
        <v>70</v>
      </c>
      <c r="B73" s="6">
        <f>tblDisplaySheet[[#This Row],[Level]]</f>
        <v>8</v>
      </c>
      <c r="C73" s="6">
        <f>tblDisplaySheet[[#This Row],[Sl.No]]</f>
        <v>71</v>
      </c>
      <c r="D73" s="6" t="str">
        <f>tblDisplaySheet[[#This Row],[Group]]</f>
        <v>Service Level - Accums</v>
      </c>
      <c r="E73" s="6" t="str">
        <f>TEXT(tblInputSheet[[#This Row],[Sl.No]], "000")&amp; ":"&amp; tblInputSheet[[#This Row],[Process]]</f>
        <v>071:Accums Calculation Microservice</v>
      </c>
      <c r="F73" s="6" t="str">
        <f>IFERROR(IF(tblInputSheet[[#This Row],[Process]] = "", "", REPT("*",Demo!$A73)&amp;""&amp;tblInputSheet[[#This Row],[Process]]), "")</f>
        <v>********Accums Calculation Microservice</v>
      </c>
      <c r="G73" s="6" t="str">
        <f>IFERROR(IF(tblInputSheet[[#This Row],[Hosted Platform]] = "-", "", VLOOKUP(tblInputSheet[[#This Row],[Hosted Platform]], tblHosted_PlatformOwner[], 2,FALSE)), "")</f>
        <v>CC001</v>
      </c>
      <c r="H73" s="6" t="str">
        <f>IFERROR(IF(tblInputSheet[[#This Row],[Hosted Platform]] = "-", "", VLOOKUP(tblInputSheet[[#This Row],[Hosted Platform]], tblHosted_PlatformOwner[], 1,FALSE)), "")</f>
        <v>PCF</v>
      </c>
      <c r="I73" s="6" t="str">
        <f>IFERROR(IF(tblInputSheet[[#This Row],[Provider]] = "-", "", VLOOKUP(tblInputSheet[[#This Row],[Provider]], tblParticipants[], 2,FALSE)), "")</f>
        <v>PP001</v>
      </c>
      <c r="J73" s="6" t="str">
        <f>IFERROR(IF(tblInputSheet[[#This Row],[Provider]] = "-", "", VLOOKUP(tblInputSheet[[#This Row],[Provider]], tblParticipants[], 1,FALSE)), "")</f>
        <v>Key-Claims Adjudication</v>
      </c>
      <c r="K73" s="6" t="str">
        <f>IFERROR(IF(tblInputSheet[[#This Row],[Consumer]] = "-", "", VLOOKUP(tblInputSheet[[#This Row],[Consumer]], tblParticipants[], 2,FALSE)), "")</f>
        <v>PP001</v>
      </c>
      <c r="L73" s="6" t="str">
        <f>IFERROR(IF(tblInputSheet[[#This Row],[Consumer]] = "-", "", VLOOKUP(tblInputSheet[[#This Row],[Consumer]], tblParticipants[], 1,FALSE)), "")</f>
        <v>Key-Claims Adjudication</v>
      </c>
      <c r="M73" s="6" t="str">
        <f>IFERROR(IF(tblInputSheet[[#This Row],[Integration Pattern]] = "-", "", VLOOKUP(tblInputSheet[[#This Row],[Integration Pattern]], tblIntegrationPartten[], 2,FALSE)), "")</f>
        <v>IP001</v>
      </c>
      <c r="N73" s="6" t="str">
        <f>IFERROR(IF(tblInputSheet[[#This Row],[Integration Pattern]] = "-", "", VLOOKUP(tblInputSheet[[#This Row],[Integration Pattern]], tblIntegrationPartten[], 1,FALSE)), "")</f>
        <v>PCF Internal (C-to-C)</v>
      </c>
      <c r="O73" s="6" t="str">
        <f>tblDisplaySheet[[#This Row],[Current State]]</f>
        <v>Y</v>
      </c>
      <c r="P73" s="6" t="str">
        <f>tblDisplaySheet[[#This Row],[Confidence Factor]]</f>
        <v>Low</v>
      </c>
      <c r="Q73" s="6">
        <f>tblDisplaySheet[[#This Row],[Count of Invocations]]</f>
        <v>1</v>
      </c>
      <c r="R73" s="6">
        <f>tblDisplaySheet[[#This Row],[DB Calls (ms)]]</f>
        <v>5</v>
      </c>
      <c r="S73" s="6">
        <f>tblDisplaySheet[[#This Row],[Logic (ms)]]</f>
        <v>100</v>
      </c>
      <c r="T73" s="6">
        <f>tblDisplaySheet[[#This Row],[Rules (ms)]]</f>
        <v>0</v>
      </c>
      <c r="U73" s="6">
        <f>tblDisplaySheet[[#This Row],[Latency (ms)]]</f>
        <v>5</v>
      </c>
      <c r="V73" s="6">
        <f>tblDisplaySheet[[#This Row],[Total Process Path Length]]</f>
        <v>177</v>
      </c>
      <c r="W73" s="6">
        <f>tblDisplaySheet[[#This Row],[Total Process Time]]</f>
        <v>110</v>
      </c>
      <c r="X73" s="6">
        <f>tblDisplaySheet[[#This Row],[Total Process Path Length]]</f>
        <v>177</v>
      </c>
      <c r="Y73" s="6">
        <f>tblDisplaySheet[[#This Row],[Process NFR]]</f>
        <v>140</v>
      </c>
      <c r="Z73" s="6">
        <f>tblDisplaySheet[[#This Row],[Total Process NFR]]</f>
        <v>140</v>
      </c>
      <c r="AA73" s="6">
        <f>tblDisplaySheet[[#This Row],[Total Process Path Length NFR]]</f>
        <v>250</v>
      </c>
      <c r="AB73" s="6" t="str">
        <f>tblDisplaySheet[[#This Row],[Status]]</f>
        <v>On Target</v>
      </c>
      <c r="AC73" s="6" t="str">
        <f>tblDisplaySheet[[#This Row],[Status]]</f>
        <v>On Target</v>
      </c>
      <c r="AD73" s="6" t="str">
        <f>tblDisplaySheet[[#This Row],[Is Leaf?]]</f>
        <v>N</v>
      </c>
      <c r="AE73" s="6" t="str">
        <f>tblDisplaySheet[[#This Row],[Owner]]</f>
        <v>Sankar</v>
      </c>
    </row>
    <row r="74" spans="1:31" x14ac:dyDescent="0.25">
      <c r="A74" s="6">
        <f>tblDisplaySheet[[#This Row],[Link]]</f>
        <v>71</v>
      </c>
      <c r="B74" s="6">
        <f>tblDisplaySheet[[#This Row],[Level]]</f>
        <v>9</v>
      </c>
      <c r="C74" s="6">
        <f>tblDisplaySheet[[#This Row],[Sl.No]]</f>
        <v>72</v>
      </c>
      <c r="D74" s="6" t="str">
        <f>tblDisplaySheet[[#This Row],[Group]]</f>
        <v>Service Level - Accums</v>
      </c>
      <c r="E74" s="6" t="str">
        <f>TEXT(tblInputSheet[[#This Row],[Sl.No]], "000")&amp; ":"&amp; tblInputSheet[[#This Row],[Process]]</f>
        <v>072:Contract API</v>
      </c>
      <c r="F74" s="6" t="str">
        <f>IFERROR(IF(tblInputSheet[[#This Row],[Process]] = "", "", REPT("*",Demo!$A74)&amp;""&amp;tblInputSheet[[#This Row],[Process]]), "")</f>
        <v>*********Contract API</v>
      </c>
      <c r="G74" s="6" t="str">
        <f>IFERROR(IF(tblInputSheet[[#This Row],[Hosted Platform]] = "-", "", VLOOKUP(tblInputSheet[[#This Row],[Hosted Platform]], tblHosted_PlatformOwner[], 2,FALSE)), "")</f>
        <v>CC001</v>
      </c>
      <c r="H74" s="6" t="str">
        <f>IFERROR(IF(tblInputSheet[[#This Row],[Hosted Platform]] = "-", "", VLOOKUP(tblInputSheet[[#This Row],[Hosted Platform]], tblHosted_PlatformOwner[], 1,FALSE)), "")</f>
        <v>PCF</v>
      </c>
      <c r="I74" s="6" t="str">
        <f>IFERROR(IF(tblInputSheet[[#This Row],[Provider]] = "-", "", VLOOKUP(tblInputSheet[[#This Row],[Provider]], tblParticipants[], 2,FALSE)), "")</f>
        <v>PP001</v>
      </c>
      <c r="J74" s="6" t="str">
        <f>IFERROR(IF(tblInputSheet[[#This Row],[Provider]] = "-", "", VLOOKUP(tblInputSheet[[#This Row],[Provider]], tblParticipants[], 1,FALSE)), "")</f>
        <v>Key-Claims Adjudication</v>
      </c>
      <c r="K74" s="6" t="str">
        <f>IFERROR(IF(tblInputSheet[[#This Row],[Consumer]] = "-", "", VLOOKUP(tblInputSheet[[#This Row],[Consumer]], tblParticipants[], 2,FALSE)), "")</f>
        <v>PP001</v>
      </c>
      <c r="L74" s="6" t="str">
        <f>IFERROR(IF(tblInputSheet[[#This Row],[Consumer]] = "-", "", VLOOKUP(tblInputSheet[[#This Row],[Consumer]], tblParticipants[], 1,FALSE)), "")</f>
        <v>Key-Claims Adjudication</v>
      </c>
      <c r="M74" s="6" t="str">
        <f>IFERROR(IF(tblInputSheet[[#This Row],[Integration Pattern]] = "-", "", VLOOKUP(tblInputSheet[[#This Row],[Integration Pattern]], tblIntegrationPartten[], 2,FALSE)), "")</f>
        <v>IP001</v>
      </c>
      <c r="N74" s="6" t="str">
        <f>IFERROR(IF(tblInputSheet[[#This Row],[Integration Pattern]] = "-", "", VLOOKUP(tblInputSheet[[#This Row],[Integration Pattern]], tblIntegrationPartten[], 1,FALSE)), "")</f>
        <v>PCF Internal (C-to-C)</v>
      </c>
      <c r="O74" s="6" t="str">
        <f>tblDisplaySheet[[#This Row],[Current State]]</f>
        <v>Y</v>
      </c>
      <c r="P74" s="6" t="str">
        <f>tblDisplaySheet[[#This Row],[Confidence Factor]]</f>
        <v>Medium</v>
      </c>
      <c r="Q74" s="6">
        <f>tblDisplaySheet[[#This Row],[Count of Invocations]]</f>
        <v>1</v>
      </c>
      <c r="R74" s="6">
        <f>tblDisplaySheet[[#This Row],[DB Calls (ms)]]</f>
        <v>5</v>
      </c>
      <c r="S74" s="6">
        <f>tblDisplaySheet[[#This Row],[Logic (ms)]]</f>
        <v>30</v>
      </c>
      <c r="T74" s="6">
        <f>tblDisplaySheet[[#This Row],[Rules (ms)]]</f>
        <v>0</v>
      </c>
      <c r="U74" s="6">
        <f>tblDisplaySheet[[#This Row],[Latency (ms)]]</f>
        <v>10</v>
      </c>
      <c r="V74" s="6">
        <f>tblDisplaySheet[[#This Row],[Total Process Path Length]]</f>
        <v>45</v>
      </c>
      <c r="W74" s="6">
        <f>tblDisplaySheet[[#This Row],[Total Process Time]]</f>
        <v>45</v>
      </c>
      <c r="X74" s="6">
        <f>tblDisplaySheet[[#This Row],[Total Process Path Length]]</f>
        <v>45</v>
      </c>
      <c r="Y74" s="6">
        <f>tblDisplaySheet[[#This Row],[Process NFR]]</f>
        <v>50</v>
      </c>
      <c r="Z74" s="6">
        <f>tblDisplaySheet[[#This Row],[Total Process NFR]]</f>
        <v>50</v>
      </c>
      <c r="AA74" s="6">
        <f>tblDisplaySheet[[#This Row],[Total Process Path Length NFR]]</f>
        <v>50</v>
      </c>
      <c r="AB74" s="6" t="str">
        <f>tblDisplaySheet[[#This Row],[Status]]</f>
        <v>On Target</v>
      </c>
      <c r="AC74" s="6" t="str">
        <f>tblDisplaySheet[[#This Row],[Status]]</f>
        <v>On Target</v>
      </c>
      <c r="AD74" s="6" t="str">
        <f>tblDisplaySheet[[#This Row],[Is Leaf?]]</f>
        <v>Y</v>
      </c>
      <c r="AE74" s="6" t="str">
        <f>tblDisplaySheet[[#This Row],[Owner]]</f>
        <v>Greg</v>
      </c>
    </row>
    <row r="75" spans="1:31" x14ac:dyDescent="0.25">
      <c r="A75" s="6">
        <f>tblDisplaySheet[[#This Row],[Link]]</f>
        <v>71</v>
      </c>
      <c r="B75" s="6">
        <f>tblDisplaySheet[[#This Row],[Level]]</f>
        <v>9</v>
      </c>
      <c r="C75" s="6">
        <f>tblDisplaySheet[[#This Row],[Sl.No]]</f>
        <v>73</v>
      </c>
      <c r="D75" s="6" t="str">
        <f>tblDisplaySheet[[#This Row],[Group]]</f>
        <v>Service Level - Accums</v>
      </c>
      <c r="E75" s="6" t="str">
        <f>TEXT(tblInputSheet[[#This Row],[Sl.No]], "000")&amp; ":"&amp; tblInputSheet[[#This Row],[Process]]</f>
        <v>073:Reference Lookup Microservice</v>
      </c>
      <c r="F75" s="6" t="str">
        <f>IFERROR(IF(tblInputSheet[[#This Row],[Process]] = "", "", REPT("*",Demo!$A75)&amp;""&amp;tblInputSheet[[#This Row],[Process]]), "")</f>
        <v>*********Reference Lookup Microservice</v>
      </c>
      <c r="G75" s="6" t="str">
        <f>IFERROR(IF(tblInputSheet[[#This Row],[Hosted Platform]] = "-", "", VLOOKUP(tblInputSheet[[#This Row],[Hosted Platform]], tblHosted_PlatformOwner[], 2,FALSE)), "")</f>
        <v>CC001</v>
      </c>
      <c r="H75" s="6" t="str">
        <f>IFERROR(IF(tblInputSheet[[#This Row],[Hosted Platform]] = "-", "", VLOOKUP(tblInputSheet[[#This Row],[Hosted Platform]], tblHosted_PlatformOwner[], 1,FALSE)), "")</f>
        <v>PCF</v>
      </c>
      <c r="I75" s="6" t="str">
        <f>IFERROR(IF(tblInputSheet[[#This Row],[Provider]] = "-", "", VLOOKUP(tblInputSheet[[#This Row],[Provider]], tblParticipants[], 2,FALSE)), "")</f>
        <v>PP001</v>
      </c>
      <c r="J75" s="6" t="str">
        <f>IFERROR(IF(tblInputSheet[[#This Row],[Provider]] = "-", "", VLOOKUP(tblInputSheet[[#This Row],[Provider]], tblParticipants[], 1,FALSE)), "")</f>
        <v>Key-Claims Adjudication</v>
      </c>
      <c r="K75" s="6" t="str">
        <f>IFERROR(IF(tblInputSheet[[#This Row],[Consumer]] = "-", "", VLOOKUP(tblInputSheet[[#This Row],[Consumer]], tblParticipants[], 2,FALSE)), "")</f>
        <v>PP001</v>
      </c>
      <c r="L75" s="6" t="str">
        <f>IFERROR(IF(tblInputSheet[[#This Row],[Consumer]] = "-", "", VLOOKUP(tblInputSheet[[#This Row],[Consumer]], tblParticipants[], 1,FALSE)), "")</f>
        <v>Key-Claims Adjudication</v>
      </c>
      <c r="M75" s="6" t="str">
        <f>IFERROR(IF(tblInputSheet[[#This Row],[Integration Pattern]] = "-", "", VLOOKUP(tblInputSheet[[#This Row],[Integration Pattern]], tblIntegrationPartten[], 2,FALSE)), "")</f>
        <v>IP001</v>
      </c>
      <c r="N75" s="6" t="str">
        <f>IFERROR(IF(tblInputSheet[[#This Row],[Integration Pattern]] = "-", "", VLOOKUP(tblInputSheet[[#This Row],[Integration Pattern]], tblIntegrationPartten[], 1,FALSE)), "")</f>
        <v>PCF Internal (C-to-C)</v>
      </c>
      <c r="O75" s="6" t="str">
        <f>tblDisplaySheet[[#This Row],[Current State]]</f>
        <v>Y</v>
      </c>
      <c r="P75" s="6" t="str">
        <f>tblDisplaySheet[[#This Row],[Confidence Factor]]</f>
        <v>High</v>
      </c>
      <c r="Q75" s="6">
        <f>tblDisplaySheet[[#This Row],[Count of Invocations]]</f>
        <v>2</v>
      </c>
      <c r="R75" s="6">
        <f>tblDisplaySheet[[#This Row],[DB Calls (ms)]]</f>
        <v>1</v>
      </c>
      <c r="S75" s="6">
        <f>tblDisplaySheet[[#This Row],[Logic (ms)]]</f>
        <v>5</v>
      </c>
      <c r="T75" s="6">
        <f>tblDisplaySheet[[#This Row],[Rules (ms)]]</f>
        <v>0</v>
      </c>
      <c r="U75" s="6">
        <f>tblDisplaySheet[[#This Row],[Latency (ms)]]</f>
        <v>5</v>
      </c>
      <c r="V75" s="6">
        <f>tblDisplaySheet[[#This Row],[Total Process Path Length]]</f>
        <v>22</v>
      </c>
      <c r="W75" s="6">
        <f>tblDisplaySheet[[#This Row],[Total Process Time]]</f>
        <v>22</v>
      </c>
      <c r="X75" s="6">
        <f>tblDisplaySheet[[#This Row],[Total Process Path Length]]</f>
        <v>22</v>
      </c>
      <c r="Y75" s="6">
        <f>tblDisplaySheet[[#This Row],[Process NFR]]</f>
        <v>30</v>
      </c>
      <c r="Z75" s="6">
        <f>tblDisplaySheet[[#This Row],[Total Process NFR]]</f>
        <v>60</v>
      </c>
      <c r="AA75" s="6">
        <f>tblDisplaySheet[[#This Row],[Total Process Path Length NFR]]</f>
        <v>60</v>
      </c>
      <c r="AB75" s="6" t="str">
        <f>tblDisplaySheet[[#This Row],[Status]]</f>
        <v>On Target</v>
      </c>
      <c r="AC75" s="6" t="str">
        <f>tblDisplaySheet[[#This Row],[Status]]</f>
        <v>On Target</v>
      </c>
      <c r="AD75" s="6" t="str">
        <f>tblDisplaySheet[[#This Row],[Is Leaf?]]</f>
        <v>Y</v>
      </c>
      <c r="AE75" s="6" t="str">
        <f>tblDisplaySheet[[#This Row],[Owner]]</f>
        <v>Sankar</v>
      </c>
    </row>
    <row r="76" spans="1:31" x14ac:dyDescent="0.25">
      <c r="A76" s="6">
        <f>tblDisplaySheet[[#This Row],[Link]]</f>
        <v>70</v>
      </c>
      <c r="B76" s="6">
        <f>tblDisplaySheet[[#This Row],[Level]]</f>
        <v>8</v>
      </c>
      <c r="C76" s="6">
        <f>tblDisplaySheet[[#This Row],[Sl.No]]</f>
        <v>74</v>
      </c>
      <c r="D76" s="6" t="str">
        <f>tblDisplaySheet[[#This Row],[Group]]</f>
        <v>Service Level - Accums</v>
      </c>
      <c r="E76" s="6" t="str">
        <f>TEXT(tblInputSheet[[#This Row],[Sl.No]], "000")&amp; ":"&amp; tblInputSheet[[#This Row],[Process]]</f>
        <v>074:DME Calculation Microservice</v>
      </c>
      <c r="F76" s="6" t="str">
        <f>IFERROR(IF(tblInputSheet[[#This Row],[Process]] = "", "", REPT("*",Demo!$A76)&amp;""&amp;tblInputSheet[[#This Row],[Process]]), "")</f>
        <v>********DME Calculation Microservice</v>
      </c>
      <c r="G76" s="6" t="str">
        <f>IFERROR(IF(tblInputSheet[[#This Row],[Hosted Platform]] = "-", "", VLOOKUP(tblInputSheet[[#This Row],[Hosted Platform]], tblHosted_PlatformOwner[], 2,FALSE)), "")</f>
        <v>CC001</v>
      </c>
      <c r="H76" s="6" t="str">
        <f>IFERROR(IF(tblInputSheet[[#This Row],[Hosted Platform]] = "-", "", VLOOKUP(tblInputSheet[[#This Row],[Hosted Platform]], tblHosted_PlatformOwner[], 1,FALSE)), "")</f>
        <v>PCF</v>
      </c>
      <c r="I76" s="6" t="str">
        <f>IFERROR(IF(tblInputSheet[[#This Row],[Provider]] = "-", "", VLOOKUP(tblInputSheet[[#This Row],[Provider]], tblParticipants[], 2,FALSE)), "")</f>
        <v>PP001</v>
      </c>
      <c r="J76" s="6" t="str">
        <f>IFERROR(IF(tblInputSheet[[#This Row],[Provider]] = "-", "", VLOOKUP(tblInputSheet[[#This Row],[Provider]], tblParticipants[], 1,FALSE)), "")</f>
        <v>Key-Claims Adjudication</v>
      </c>
      <c r="K76" s="6" t="str">
        <f>IFERROR(IF(tblInputSheet[[#This Row],[Consumer]] = "-", "", VLOOKUP(tblInputSheet[[#This Row],[Consumer]], tblParticipants[], 2,FALSE)), "")</f>
        <v>PP001</v>
      </c>
      <c r="L76" s="6" t="str">
        <f>IFERROR(IF(tblInputSheet[[#This Row],[Consumer]] = "-", "", VLOOKUP(tblInputSheet[[#This Row],[Consumer]], tblParticipants[], 1,FALSE)), "")</f>
        <v>Key-Claims Adjudication</v>
      </c>
      <c r="M76" s="6" t="str">
        <f>IFERROR(IF(tblInputSheet[[#This Row],[Integration Pattern]] = "-", "", VLOOKUP(tblInputSheet[[#This Row],[Integration Pattern]], tblIntegrationPartten[], 2,FALSE)), "")</f>
        <v>IP001</v>
      </c>
      <c r="N76" s="6" t="str">
        <f>IFERROR(IF(tblInputSheet[[#This Row],[Integration Pattern]] = "-", "", VLOOKUP(tblInputSheet[[#This Row],[Integration Pattern]], tblIntegrationPartten[], 1,FALSE)), "")</f>
        <v>PCF Internal (C-to-C)</v>
      </c>
      <c r="O76" s="6" t="str">
        <f>tblDisplaySheet[[#This Row],[Current State]]</f>
        <v>Y</v>
      </c>
      <c r="P76" s="6" t="str">
        <f>tblDisplaySheet[[#This Row],[Confidence Factor]]</f>
        <v>Low</v>
      </c>
      <c r="Q76" s="6">
        <f>tblDisplaySheet[[#This Row],[Count of Invocations]]</f>
        <v>0</v>
      </c>
      <c r="R76" s="6">
        <f>tblDisplaySheet[[#This Row],[DB Calls (ms)]]</f>
        <v>5</v>
      </c>
      <c r="S76" s="6">
        <f>tblDisplaySheet[[#This Row],[Logic (ms)]]</f>
        <v>100</v>
      </c>
      <c r="T76" s="6">
        <f>tblDisplaySheet[[#This Row],[Rules (ms)]]</f>
        <v>0</v>
      </c>
      <c r="U76" s="6">
        <f>tblDisplaySheet[[#This Row],[Latency (ms)]]</f>
        <v>5</v>
      </c>
      <c r="V76" s="6">
        <f>tblDisplaySheet[[#This Row],[Total Process Path Length]]</f>
        <v>0</v>
      </c>
      <c r="W76" s="6">
        <f>tblDisplaySheet[[#This Row],[Total Process Time]]</f>
        <v>0</v>
      </c>
      <c r="X76" s="6">
        <f>tblDisplaySheet[[#This Row],[Total Process Path Length]]</f>
        <v>0</v>
      </c>
      <c r="Y76" s="6">
        <f>tblDisplaySheet[[#This Row],[Process NFR]]</f>
        <v>140</v>
      </c>
      <c r="Z76" s="6">
        <f>tblDisplaySheet[[#This Row],[Total Process NFR]]</f>
        <v>0</v>
      </c>
      <c r="AA76" s="6">
        <f>tblDisplaySheet[[#This Row],[Total Process Path Length NFR]]</f>
        <v>0</v>
      </c>
      <c r="AB76" s="6" t="str">
        <f>tblDisplaySheet[[#This Row],[Status]]</f>
        <v>On Target</v>
      </c>
      <c r="AC76" s="6" t="str">
        <f>tblDisplaySheet[[#This Row],[Status]]</f>
        <v>On Target</v>
      </c>
      <c r="AD76" s="6" t="str">
        <f>tblDisplaySheet[[#This Row],[Is Leaf?]]</f>
        <v>N</v>
      </c>
      <c r="AE76" s="6" t="str">
        <f>tblDisplaySheet[[#This Row],[Owner]]</f>
        <v>Sankar</v>
      </c>
    </row>
    <row r="77" spans="1:31" x14ac:dyDescent="0.25">
      <c r="A77" s="6">
        <f>tblDisplaySheet[[#This Row],[Link]]</f>
        <v>74</v>
      </c>
      <c r="B77" s="6">
        <f>tblDisplaySheet[[#This Row],[Level]]</f>
        <v>9</v>
      </c>
      <c r="C77" s="6">
        <f>tblDisplaySheet[[#This Row],[Sl.No]]</f>
        <v>75</v>
      </c>
      <c r="D77" s="6" t="str">
        <f>tblDisplaySheet[[#This Row],[Group]]</f>
        <v>Service Level - Accums</v>
      </c>
      <c r="E77" s="6" t="str">
        <f>TEXT(tblInputSheet[[#This Row],[Sl.No]], "000")&amp; ":"&amp; tblInputSheet[[#This Row],[Process]]</f>
        <v>075:Contract API</v>
      </c>
      <c r="F77" s="6" t="str">
        <f>IFERROR(IF(tblInputSheet[[#This Row],[Process]] = "", "", REPT("*",Demo!$A77)&amp;""&amp;tblInputSheet[[#This Row],[Process]]), "")</f>
        <v>*********Contract API</v>
      </c>
      <c r="G77" s="6" t="str">
        <f>IFERROR(IF(tblInputSheet[[#This Row],[Hosted Platform]] = "-", "", VLOOKUP(tblInputSheet[[#This Row],[Hosted Platform]], tblHosted_PlatformOwner[], 2,FALSE)), "")</f>
        <v>CC001</v>
      </c>
      <c r="H77" s="6" t="str">
        <f>IFERROR(IF(tblInputSheet[[#This Row],[Hosted Platform]] = "-", "", VLOOKUP(tblInputSheet[[#This Row],[Hosted Platform]], tblHosted_PlatformOwner[], 1,FALSE)), "")</f>
        <v>PCF</v>
      </c>
      <c r="I77" s="6" t="str">
        <f>IFERROR(IF(tblInputSheet[[#This Row],[Provider]] = "-", "", VLOOKUP(tblInputSheet[[#This Row],[Provider]], tblParticipants[], 2,FALSE)), "")</f>
        <v>PP001</v>
      </c>
      <c r="J77" s="6" t="str">
        <f>IFERROR(IF(tblInputSheet[[#This Row],[Provider]] = "-", "", VLOOKUP(tblInputSheet[[#This Row],[Provider]], tblParticipants[], 1,FALSE)), "")</f>
        <v>Key-Claims Adjudication</v>
      </c>
      <c r="K77" s="6" t="str">
        <f>IFERROR(IF(tblInputSheet[[#This Row],[Consumer]] = "-", "", VLOOKUP(tblInputSheet[[#This Row],[Consumer]], tblParticipants[], 2,FALSE)), "")</f>
        <v>PP001</v>
      </c>
      <c r="L77" s="6" t="str">
        <f>IFERROR(IF(tblInputSheet[[#This Row],[Consumer]] = "-", "", VLOOKUP(tblInputSheet[[#This Row],[Consumer]], tblParticipants[], 1,FALSE)), "")</f>
        <v>Key-Claims Adjudication</v>
      </c>
      <c r="M77" s="6" t="str">
        <f>IFERROR(IF(tblInputSheet[[#This Row],[Integration Pattern]] = "-", "", VLOOKUP(tblInputSheet[[#This Row],[Integration Pattern]], tblIntegrationPartten[], 2,FALSE)), "")</f>
        <v>IP001</v>
      </c>
      <c r="N77" s="6" t="str">
        <f>IFERROR(IF(tblInputSheet[[#This Row],[Integration Pattern]] = "-", "", VLOOKUP(tblInputSheet[[#This Row],[Integration Pattern]], tblIntegrationPartten[], 1,FALSE)), "")</f>
        <v>PCF Internal (C-to-C)</v>
      </c>
      <c r="O77" s="6" t="str">
        <f>tblDisplaySheet[[#This Row],[Current State]]</f>
        <v>Y</v>
      </c>
      <c r="P77" s="6" t="str">
        <f>tblDisplaySheet[[#This Row],[Confidence Factor]]</f>
        <v>Medium</v>
      </c>
      <c r="Q77" s="6">
        <f>tblDisplaySheet[[#This Row],[Count of Invocations]]</f>
        <v>0</v>
      </c>
      <c r="R77" s="6">
        <f>tblDisplaySheet[[#This Row],[DB Calls (ms)]]</f>
        <v>5</v>
      </c>
      <c r="S77" s="6">
        <f>tblDisplaySheet[[#This Row],[Logic (ms)]]</f>
        <v>30</v>
      </c>
      <c r="T77" s="6">
        <f>tblDisplaySheet[[#This Row],[Rules (ms)]]</f>
        <v>0</v>
      </c>
      <c r="U77" s="6">
        <f>tblDisplaySheet[[#This Row],[Latency (ms)]]</f>
        <v>10</v>
      </c>
      <c r="V77" s="6">
        <f>tblDisplaySheet[[#This Row],[Total Process Path Length]]</f>
        <v>0</v>
      </c>
      <c r="W77" s="6">
        <f>tblDisplaySheet[[#This Row],[Total Process Time]]</f>
        <v>0</v>
      </c>
      <c r="X77" s="6">
        <f>tblDisplaySheet[[#This Row],[Total Process Path Length]]</f>
        <v>0</v>
      </c>
      <c r="Y77" s="6">
        <f>tblDisplaySheet[[#This Row],[Process NFR]]</f>
        <v>50</v>
      </c>
      <c r="Z77" s="6">
        <f>tblDisplaySheet[[#This Row],[Total Process NFR]]</f>
        <v>0</v>
      </c>
      <c r="AA77" s="6">
        <f>tblDisplaySheet[[#This Row],[Total Process Path Length NFR]]</f>
        <v>0</v>
      </c>
      <c r="AB77" s="6" t="str">
        <f>tblDisplaySheet[[#This Row],[Status]]</f>
        <v>On Target</v>
      </c>
      <c r="AC77" s="6" t="str">
        <f>tblDisplaySheet[[#This Row],[Status]]</f>
        <v>On Target</v>
      </c>
      <c r="AD77" s="6" t="str">
        <f>tblDisplaySheet[[#This Row],[Is Leaf?]]</f>
        <v>Y</v>
      </c>
      <c r="AE77" s="6" t="str">
        <f>tblDisplaySheet[[#This Row],[Owner]]</f>
        <v>Greg</v>
      </c>
    </row>
    <row r="78" spans="1:31" x14ac:dyDescent="0.25">
      <c r="A78" s="6">
        <f>tblDisplaySheet[[#This Row],[Link]]</f>
        <v>74</v>
      </c>
      <c r="B78" s="6">
        <f>tblDisplaySheet[[#This Row],[Level]]</f>
        <v>9</v>
      </c>
      <c r="C78" s="6">
        <f>tblDisplaySheet[[#This Row],[Sl.No]]</f>
        <v>76</v>
      </c>
      <c r="D78" s="6" t="str">
        <f>tblDisplaySheet[[#This Row],[Group]]</f>
        <v>Service Level - Accums</v>
      </c>
      <c r="E78" s="6" t="str">
        <f>TEXT(tblInputSheet[[#This Row],[Sl.No]], "000")&amp; ":"&amp; tblInputSheet[[#This Row],[Process]]</f>
        <v>076:Reference Lookup Microservice</v>
      </c>
      <c r="F78" s="6" t="str">
        <f>IFERROR(IF(tblInputSheet[[#This Row],[Process]] = "", "", REPT("*",Demo!$A78)&amp;""&amp;tblInputSheet[[#This Row],[Process]]), "")</f>
        <v>*********Reference Lookup Microservice</v>
      </c>
      <c r="G78" s="6" t="str">
        <f>IFERROR(IF(tblInputSheet[[#This Row],[Hosted Platform]] = "-", "", VLOOKUP(tblInputSheet[[#This Row],[Hosted Platform]], tblHosted_PlatformOwner[], 2,FALSE)), "")</f>
        <v>CC001</v>
      </c>
      <c r="H78" s="6" t="str">
        <f>IFERROR(IF(tblInputSheet[[#This Row],[Hosted Platform]] = "-", "", VLOOKUP(tblInputSheet[[#This Row],[Hosted Platform]], tblHosted_PlatformOwner[], 1,FALSE)), "")</f>
        <v>PCF</v>
      </c>
      <c r="I78" s="6" t="str">
        <f>IFERROR(IF(tblInputSheet[[#This Row],[Provider]] = "-", "", VLOOKUP(tblInputSheet[[#This Row],[Provider]], tblParticipants[], 2,FALSE)), "")</f>
        <v>PP001</v>
      </c>
      <c r="J78" s="6" t="str">
        <f>IFERROR(IF(tblInputSheet[[#This Row],[Provider]] = "-", "", VLOOKUP(tblInputSheet[[#This Row],[Provider]], tblParticipants[], 1,FALSE)), "")</f>
        <v>Key-Claims Adjudication</v>
      </c>
      <c r="K78" s="6" t="str">
        <f>IFERROR(IF(tblInputSheet[[#This Row],[Consumer]] = "-", "", VLOOKUP(tblInputSheet[[#This Row],[Consumer]], tblParticipants[], 2,FALSE)), "")</f>
        <v>PP001</v>
      </c>
      <c r="L78" s="6" t="str">
        <f>IFERROR(IF(tblInputSheet[[#This Row],[Consumer]] = "-", "", VLOOKUP(tblInputSheet[[#This Row],[Consumer]], tblParticipants[], 1,FALSE)), "")</f>
        <v>Key-Claims Adjudication</v>
      </c>
      <c r="M78" s="6" t="str">
        <f>IFERROR(IF(tblInputSheet[[#This Row],[Integration Pattern]] = "-", "", VLOOKUP(tblInputSheet[[#This Row],[Integration Pattern]], tblIntegrationPartten[], 2,FALSE)), "")</f>
        <v>IP001</v>
      </c>
      <c r="N78" s="6" t="str">
        <f>IFERROR(IF(tblInputSheet[[#This Row],[Integration Pattern]] = "-", "", VLOOKUP(tblInputSheet[[#This Row],[Integration Pattern]], tblIntegrationPartten[], 1,FALSE)), "")</f>
        <v>PCF Internal (C-to-C)</v>
      </c>
      <c r="O78" s="6" t="str">
        <f>tblDisplaySheet[[#This Row],[Current State]]</f>
        <v>Y</v>
      </c>
      <c r="P78" s="6" t="str">
        <f>tblDisplaySheet[[#This Row],[Confidence Factor]]</f>
        <v>High</v>
      </c>
      <c r="Q78" s="6">
        <f>tblDisplaySheet[[#This Row],[Count of Invocations]]</f>
        <v>0</v>
      </c>
      <c r="R78" s="6">
        <f>tblDisplaySheet[[#This Row],[DB Calls (ms)]]</f>
        <v>1</v>
      </c>
      <c r="S78" s="6">
        <f>tblDisplaySheet[[#This Row],[Logic (ms)]]</f>
        <v>5</v>
      </c>
      <c r="T78" s="6">
        <f>tblDisplaySheet[[#This Row],[Rules (ms)]]</f>
        <v>0</v>
      </c>
      <c r="U78" s="6">
        <f>tblDisplaySheet[[#This Row],[Latency (ms)]]</f>
        <v>5</v>
      </c>
      <c r="V78" s="6">
        <f>tblDisplaySheet[[#This Row],[Total Process Path Length]]</f>
        <v>0</v>
      </c>
      <c r="W78" s="6">
        <f>tblDisplaySheet[[#This Row],[Total Process Time]]</f>
        <v>0</v>
      </c>
      <c r="X78" s="6">
        <f>tblDisplaySheet[[#This Row],[Total Process Path Length]]</f>
        <v>0</v>
      </c>
      <c r="Y78" s="6">
        <f>tblDisplaySheet[[#This Row],[Process NFR]]</f>
        <v>30</v>
      </c>
      <c r="Z78" s="6">
        <f>tblDisplaySheet[[#This Row],[Total Process NFR]]</f>
        <v>0</v>
      </c>
      <c r="AA78" s="6">
        <f>tblDisplaySheet[[#This Row],[Total Process Path Length NFR]]</f>
        <v>0</v>
      </c>
      <c r="AB78" s="6" t="str">
        <f>tblDisplaySheet[[#This Row],[Status]]</f>
        <v>On Target</v>
      </c>
      <c r="AC78" s="6" t="str">
        <f>tblDisplaySheet[[#This Row],[Status]]</f>
        <v>On Target</v>
      </c>
      <c r="AD78" s="6" t="str">
        <f>tblDisplaySheet[[#This Row],[Is Leaf?]]</f>
        <v>Y</v>
      </c>
      <c r="AE78" s="6" t="str">
        <f>tblDisplaySheet[[#This Row],[Owner]]</f>
        <v>Sankar</v>
      </c>
    </row>
    <row r="79" spans="1:31" x14ac:dyDescent="0.25">
      <c r="A79" s="6">
        <f>tblDisplaySheet[[#This Row],[Link]]</f>
        <v>70</v>
      </c>
      <c r="B79" s="6">
        <f>tblDisplaySheet[[#This Row],[Level]]</f>
        <v>8</v>
      </c>
      <c r="C79" s="6">
        <f>tblDisplaySheet[[#This Row],[Sl.No]]</f>
        <v>77</v>
      </c>
      <c r="D79" s="6" t="str">
        <f>tblDisplaySheet[[#This Row],[Group]]</f>
        <v>Service Level - Accums</v>
      </c>
      <c r="E79" s="6" t="str">
        <f>TEXT(tblInputSheet[[#This Row],[Sl.No]], "000")&amp; ":"&amp; tblInputSheet[[#This Row],[Process]]</f>
        <v>077:Accums Utilization Inquiry Microservice</v>
      </c>
      <c r="F79" s="6" t="str">
        <f>IFERROR(IF(tblInputSheet[[#This Row],[Process]] = "", "", REPT("*",Demo!$A79)&amp;""&amp;tblInputSheet[[#This Row],[Process]]), "")</f>
        <v>********Accums Utilization Inquiry Microservice</v>
      </c>
      <c r="G79" s="6" t="str">
        <f>IFERROR(IF(tblInputSheet[[#This Row],[Hosted Platform]] = "-", "", VLOOKUP(tblInputSheet[[#This Row],[Hosted Platform]], tblHosted_PlatformOwner[], 2,FALSE)), "")</f>
        <v>CC001</v>
      </c>
      <c r="H79" s="6" t="str">
        <f>IFERROR(IF(tblInputSheet[[#This Row],[Hosted Platform]] = "-", "", VLOOKUP(tblInputSheet[[#This Row],[Hosted Platform]], tblHosted_PlatformOwner[], 1,FALSE)), "")</f>
        <v>PCF</v>
      </c>
      <c r="I79" s="6" t="str">
        <f>IFERROR(IF(tblInputSheet[[#This Row],[Provider]] = "-", "", VLOOKUP(tblInputSheet[[#This Row],[Provider]], tblParticipants[], 2,FALSE)), "")</f>
        <v>PP001</v>
      </c>
      <c r="J79" s="6" t="str">
        <f>IFERROR(IF(tblInputSheet[[#This Row],[Provider]] = "-", "", VLOOKUP(tblInputSheet[[#This Row],[Provider]], tblParticipants[], 1,FALSE)), "")</f>
        <v>Key-Claims Adjudication</v>
      </c>
      <c r="K79" s="6" t="str">
        <f>IFERROR(IF(tblInputSheet[[#This Row],[Consumer]] = "-", "", VLOOKUP(tblInputSheet[[#This Row],[Consumer]], tblParticipants[], 2,FALSE)), "")</f>
        <v>PP001</v>
      </c>
      <c r="L79" s="6" t="str">
        <f>IFERROR(IF(tblInputSheet[[#This Row],[Consumer]] = "-", "", VLOOKUP(tblInputSheet[[#This Row],[Consumer]], tblParticipants[], 1,FALSE)), "")</f>
        <v>Key-Claims Adjudication</v>
      </c>
      <c r="M79" s="6" t="str">
        <f>IFERROR(IF(tblInputSheet[[#This Row],[Integration Pattern]] = "-", "", VLOOKUP(tblInputSheet[[#This Row],[Integration Pattern]], tblIntegrationPartten[], 2,FALSE)), "")</f>
        <v>IP001</v>
      </c>
      <c r="N79" s="6" t="str">
        <f>IFERROR(IF(tblInputSheet[[#This Row],[Integration Pattern]] = "-", "", VLOOKUP(tblInputSheet[[#This Row],[Integration Pattern]], tblIntegrationPartten[], 1,FALSE)), "")</f>
        <v>PCF Internal (C-to-C)</v>
      </c>
      <c r="O79" s="6" t="str">
        <f>tblDisplaySheet[[#This Row],[Current State]]</f>
        <v>Y</v>
      </c>
      <c r="P79" s="6" t="str">
        <f>tblDisplaySheet[[#This Row],[Confidence Factor]]</f>
        <v>Low</v>
      </c>
      <c r="Q79" s="6">
        <f>tblDisplaySheet[[#This Row],[Count of Invocations]]</f>
        <v>1</v>
      </c>
      <c r="R79" s="6">
        <f>tblDisplaySheet[[#This Row],[DB Calls (ms)]]</f>
        <v>5</v>
      </c>
      <c r="S79" s="6">
        <f>tblDisplaySheet[[#This Row],[Logic (ms)]]</f>
        <v>30</v>
      </c>
      <c r="T79" s="6">
        <f>tblDisplaySheet[[#This Row],[Rules (ms)]]</f>
        <v>0</v>
      </c>
      <c r="U79" s="6">
        <f>tblDisplaySheet[[#This Row],[Latency (ms)]]</f>
        <v>5</v>
      </c>
      <c r="V79" s="6">
        <f>tblDisplaySheet[[#This Row],[Total Process Path Length]]</f>
        <v>40</v>
      </c>
      <c r="W79" s="6">
        <f>tblDisplaySheet[[#This Row],[Total Process Time]]</f>
        <v>40</v>
      </c>
      <c r="X79" s="6">
        <f>tblDisplaySheet[[#This Row],[Total Process Path Length]]</f>
        <v>40</v>
      </c>
      <c r="Y79" s="6">
        <f>tblDisplaySheet[[#This Row],[Process NFR]]</f>
        <v>50</v>
      </c>
      <c r="Z79" s="6">
        <f>tblDisplaySheet[[#This Row],[Total Process NFR]]</f>
        <v>50</v>
      </c>
      <c r="AA79" s="6">
        <f>tblDisplaySheet[[#This Row],[Total Process Path Length NFR]]</f>
        <v>50</v>
      </c>
      <c r="AB79" s="6" t="str">
        <f>tblDisplaySheet[[#This Row],[Status]]</f>
        <v>On Target</v>
      </c>
      <c r="AC79" s="6" t="str">
        <f>tblDisplaySheet[[#This Row],[Status]]</f>
        <v>On Target</v>
      </c>
      <c r="AD79" s="6" t="str">
        <f>tblDisplaySheet[[#This Row],[Is Leaf?]]</f>
        <v>Y</v>
      </c>
      <c r="AE79" s="6" t="str">
        <f>tblDisplaySheet[[#This Row],[Owner]]</f>
        <v>Sankar</v>
      </c>
    </row>
    <row r="80" spans="1:31" x14ac:dyDescent="0.25">
      <c r="A80" s="6">
        <f>tblDisplaySheet[[#This Row],[Link]]</f>
        <v>70</v>
      </c>
      <c r="B80" s="6">
        <f>tblDisplaySheet[[#This Row],[Level]]</f>
        <v>8</v>
      </c>
      <c r="C80" s="6">
        <f>tblDisplaySheet[[#This Row],[Sl.No]]</f>
        <v>78</v>
      </c>
      <c r="D80" s="6" t="str">
        <f>tblDisplaySheet[[#This Row],[Group]]</f>
        <v>Service Level - Accums</v>
      </c>
      <c r="E80" s="6" t="str">
        <f>TEXT(tblInputSheet[[#This Row],[Sl.No]], "000")&amp; ":"&amp; tblInputSheet[[#This Row],[Process]]</f>
        <v>078:Accums Utilization Microservice</v>
      </c>
      <c r="F80" s="6" t="str">
        <f>IFERROR(IF(tblInputSheet[[#This Row],[Process]] = "", "", REPT("*",Demo!$A80)&amp;""&amp;tblInputSheet[[#This Row],[Process]]), "")</f>
        <v>********Accums Utilization Microservice</v>
      </c>
      <c r="G80" s="6" t="str">
        <f>IFERROR(IF(tblInputSheet[[#This Row],[Hosted Platform]] = "-", "", VLOOKUP(tblInputSheet[[#This Row],[Hosted Platform]], tblHosted_PlatformOwner[], 2,FALSE)), "")</f>
        <v>CC001</v>
      </c>
      <c r="H80" s="6" t="str">
        <f>IFERROR(IF(tblInputSheet[[#This Row],[Hosted Platform]] = "-", "", VLOOKUP(tblInputSheet[[#This Row],[Hosted Platform]], tblHosted_PlatformOwner[], 1,FALSE)), "")</f>
        <v>PCF</v>
      </c>
      <c r="I80" s="6" t="str">
        <f>IFERROR(IF(tblInputSheet[[#This Row],[Provider]] = "-", "", VLOOKUP(tblInputSheet[[#This Row],[Provider]], tblParticipants[], 2,FALSE)), "")</f>
        <v>PP001</v>
      </c>
      <c r="J80" s="6" t="str">
        <f>IFERROR(IF(tblInputSheet[[#This Row],[Provider]] = "-", "", VLOOKUP(tblInputSheet[[#This Row],[Provider]], tblParticipants[], 1,FALSE)), "")</f>
        <v>Key-Claims Adjudication</v>
      </c>
      <c r="K80" s="6" t="str">
        <f>IFERROR(IF(tblInputSheet[[#This Row],[Consumer]] = "-", "", VLOOKUP(tblInputSheet[[#This Row],[Consumer]], tblParticipants[], 2,FALSE)), "")</f>
        <v>PP001</v>
      </c>
      <c r="L80" s="6" t="str">
        <f>IFERROR(IF(tblInputSheet[[#This Row],[Consumer]] = "-", "", VLOOKUP(tblInputSheet[[#This Row],[Consumer]], tblParticipants[], 1,FALSE)), "")</f>
        <v>Key-Claims Adjudication</v>
      </c>
      <c r="M80" s="6" t="str">
        <f>IFERROR(IF(tblInputSheet[[#This Row],[Integration Pattern]] = "-", "", VLOOKUP(tblInputSheet[[#This Row],[Integration Pattern]], tblIntegrationPartten[], 2,FALSE)), "")</f>
        <v>IP001</v>
      </c>
      <c r="N80" s="6" t="str">
        <f>IFERROR(IF(tblInputSheet[[#This Row],[Integration Pattern]] = "-", "", VLOOKUP(tblInputSheet[[#This Row],[Integration Pattern]], tblIntegrationPartten[], 1,FALSE)), "")</f>
        <v>PCF Internal (C-to-C)</v>
      </c>
      <c r="O80" s="6" t="str">
        <f>tblDisplaySheet[[#This Row],[Current State]]</f>
        <v>Y</v>
      </c>
      <c r="P80" s="6" t="str">
        <f>tblDisplaySheet[[#This Row],[Confidence Factor]]</f>
        <v>Low</v>
      </c>
      <c r="Q80" s="6">
        <f>tblDisplaySheet[[#This Row],[Count of Invocations]]</f>
        <v>1</v>
      </c>
      <c r="R80" s="6">
        <f>tblDisplaySheet[[#This Row],[DB Calls (ms)]]</f>
        <v>5</v>
      </c>
      <c r="S80" s="6">
        <f>tblDisplaySheet[[#This Row],[Logic (ms)]]</f>
        <v>30</v>
      </c>
      <c r="T80" s="6">
        <f>tblDisplaySheet[[#This Row],[Rules (ms)]]</f>
        <v>0</v>
      </c>
      <c r="U80" s="6">
        <f>tblDisplaySheet[[#This Row],[Latency (ms)]]</f>
        <v>5</v>
      </c>
      <c r="V80" s="6">
        <f>tblDisplaySheet[[#This Row],[Total Process Path Length]]</f>
        <v>40</v>
      </c>
      <c r="W80" s="6">
        <f>tblDisplaySheet[[#This Row],[Total Process Time]]</f>
        <v>40</v>
      </c>
      <c r="X80" s="6">
        <f>tblDisplaySheet[[#This Row],[Total Process Path Length]]</f>
        <v>40</v>
      </c>
      <c r="Y80" s="6">
        <f>tblDisplaySheet[[#This Row],[Process NFR]]</f>
        <v>50</v>
      </c>
      <c r="Z80" s="6">
        <f>tblDisplaySheet[[#This Row],[Total Process NFR]]</f>
        <v>50</v>
      </c>
      <c r="AA80" s="6">
        <f>tblDisplaySheet[[#This Row],[Total Process Path Length NFR]]</f>
        <v>50</v>
      </c>
      <c r="AB80" s="6" t="str">
        <f>tblDisplaySheet[[#This Row],[Status]]</f>
        <v>On Target</v>
      </c>
      <c r="AC80" s="6" t="str">
        <f>tblDisplaySheet[[#This Row],[Status]]</f>
        <v>On Target</v>
      </c>
      <c r="AD80" s="6" t="str">
        <f>tblDisplaySheet[[#This Row],[Is Leaf?]]</f>
        <v>Y</v>
      </c>
      <c r="AE80" s="6" t="str">
        <f>tblDisplaySheet[[#This Row],[Owner]]</f>
        <v>Sankar</v>
      </c>
    </row>
    <row r="81" spans="1:31" x14ac:dyDescent="0.25">
      <c r="A81" s="6">
        <f>tblDisplaySheet[[#This Row],[Link]]</f>
        <v>70</v>
      </c>
      <c r="B81" s="6">
        <f>tblDisplaySheet[[#This Row],[Level]]</f>
        <v>8</v>
      </c>
      <c r="C81" s="6">
        <f>tblDisplaySheet[[#This Row],[Sl.No]]</f>
        <v>79</v>
      </c>
      <c r="D81" s="6" t="str">
        <f>tblDisplaySheet[[#This Row],[Group]]</f>
        <v>Service Level - Accums</v>
      </c>
      <c r="E81" s="6" t="str">
        <f>TEXT(tblInputSheet[[#This Row],[Sl.No]], "000")&amp; ":"&amp; tblInputSheet[[#This Row],[Process]]</f>
        <v>079:Accums ID Lookup Service</v>
      </c>
      <c r="F81" s="6" t="str">
        <f>IFERROR(IF(tblInputSheet[[#This Row],[Process]] = "", "", REPT("*",Demo!$A81)&amp;""&amp;tblInputSheet[[#This Row],[Process]]), "")</f>
        <v>********Accums ID Lookup Service</v>
      </c>
      <c r="G81" s="6" t="str">
        <f>IFERROR(IF(tblInputSheet[[#This Row],[Hosted Platform]] = "-", "", VLOOKUP(tblInputSheet[[#This Row],[Hosted Platform]], tblHosted_PlatformOwner[], 2,FALSE)), "")</f>
        <v>CC001</v>
      </c>
      <c r="H81" s="6" t="str">
        <f>IFERROR(IF(tblInputSheet[[#This Row],[Hosted Platform]] = "-", "", VLOOKUP(tblInputSheet[[#This Row],[Hosted Platform]], tblHosted_PlatformOwner[], 1,FALSE)), "")</f>
        <v>PCF</v>
      </c>
      <c r="I81" s="6" t="str">
        <f>IFERROR(IF(tblInputSheet[[#This Row],[Provider]] = "-", "", VLOOKUP(tblInputSheet[[#This Row],[Provider]], tblParticipants[], 2,FALSE)), "")</f>
        <v>PP001</v>
      </c>
      <c r="J81" s="6" t="str">
        <f>IFERROR(IF(tblInputSheet[[#This Row],[Provider]] = "-", "", VLOOKUP(tblInputSheet[[#This Row],[Provider]], tblParticipants[], 1,FALSE)), "")</f>
        <v>Key-Claims Adjudication</v>
      </c>
      <c r="K81" s="6" t="str">
        <f>IFERROR(IF(tblInputSheet[[#This Row],[Consumer]] = "-", "", VLOOKUP(tblInputSheet[[#This Row],[Consumer]], tblParticipants[], 2,FALSE)), "")</f>
        <v>PP001</v>
      </c>
      <c r="L81" s="6" t="str">
        <f>IFERROR(IF(tblInputSheet[[#This Row],[Consumer]] = "-", "", VLOOKUP(tblInputSheet[[#This Row],[Consumer]], tblParticipants[], 1,FALSE)), "")</f>
        <v>Key-Claims Adjudication</v>
      </c>
      <c r="M81" s="6" t="str">
        <f>IFERROR(IF(tblInputSheet[[#This Row],[Integration Pattern]] = "-", "", VLOOKUP(tblInputSheet[[#This Row],[Integration Pattern]], tblIntegrationPartten[], 2,FALSE)), "")</f>
        <v>IP001</v>
      </c>
      <c r="N81" s="6" t="str">
        <f>IFERROR(IF(tblInputSheet[[#This Row],[Integration Pattern]] = "-", "", VLOOKUP(tblInputSheet[[#This Row],[Integration Pattern]], tblIntegrationPartten[], 1,FALSE)), "")</f>
        <v>PCF Internal (C-to-C)</v>
      </c>
      <c r="O81" s="6" t="str">
        <f>tblDisplaySheet[[#This Row],[Current State]]</f>
        <v>Y</v>
      </c>
      <c r="P81" s="6" t="str">
        <f>tblDisplaySheet[[#This Row],[Confidence Factor]]</f>
        <v>Low</v>
      </c>
      <c r="Q81" s="6">
        <f>tblDisplaySheet[[#This Row],[Count of Invocations]]</f>
        <v>1</v>
      </c>
      <c r="R81" s="6">
        <f>tblDisplaySheet[[#This Row],[DB Calls (ms)]]</f>
        <v>5</v>
      </c>
      <c r="S81" s="6">
        <f>tblDisplaySheet[[#This Row],[Logic (ms)]]</f>
        <v>30</v>
      </c>
      <c r="T81" s="6">
        <f>tblDisplaySheet[[#This Row],[Rules (ms)]]</f>
        <v>0</v>
      </c>
      <c r="U81" s="6">
        <f>tblDisplaySheet[[#This Row],[Latency (ms)]]</f>
        <v>5</v>
      </c>
      <c r="V81" s="6">
        <f>tblDisplaySheet[[#This Row],[Total Process Path Length]]</f>
        <v>40</v>
      </c>
      <c r="W81" s="6">
        <f>tblDisplaySheet[[#This Row],[Total Process Time]]</f>
        <v>40</v>
      </c>
      <c r="X81" s="6">
        <f>tblDisplaySheet[[#This Row],[Total Process Path Length]]</f>
        <v>40</v>
      </c>
      <c r="Y81" s="6">
        <f>tblDisplaySheet[[#This Row],[Process NFR]]</f>
        <v>50</v>
      </c>
      <c r="Z81" s="6">
        <f>tblDisplaySheet[[#This Row],[Total Process NFR]]</f>
        <v>50</v>
      </c>
      <c r="AA81" s="6">
        <f>tblDisplaySheet[[#This Row],[Total Process Path Length NFR]]</f>
        <v>50</v>
      </c>
      <c r="AB81" s="6" t="str">
        <f>tblDisplaySheet[[#This Row],[Status]]</f>
        <v>On Target</v>
      </c>
      <c r="AC81" s="6" t="str">
        <f>tblDisplaySheet[[#This Row],[Status]]</f>
        <v>On Target</v>
      </c>
      <c r="AD81" s="6" t="str">
        <f>tblDisplaySheet[[#This Row],[Is Leaf?]]</f>
        <v>Y</v>
      </c>
      <c r="AE81" s="6" t="str">
        <f>tblDisplaySheet[[#This Row],[Owner]]</f>
        <v>Sankar</v>
      </c>
    </row>
    <row r="82" spans="1:31" x14ac:dyDescent="0.25">
      <c r="A82" s="6">
        <f>tblDisplaySheet[[#This Row],[Link]]</f>
        <v>70</v>
      </c>
      <c r="B82" s="6">
        <f>tblDisplaySheet[[#This Row],[Level]]</f>
        <v>8</v>
      </c>
      <c r="C82" s="6">
        <f>tblDisplaySheet[[#This Row],[Sl.No]]</f>
        <v>80</v>
      </c>
      <c r="D82" s="6" t="str">
        <f>tblDisplaySheet[[#This Row],[Group]]</f>
        <v>Service Level - Accums</v>
      </c>
      <c r="E82" s="6" t="str">
        <f>TEXT(tblInputSheet[[#This Row],[Sl.No]], "000")&amp; ":"&amp; tblInputSheet[[#This Row],[Process]]</f>
        <v>080:DME Event Validation Lookup Service</v>
      </c>
      <c r="F82" s="6" t="str">
        <f>IFERROR(IF(tblInputSheet[[#This Row],[Process]] = "", "", REPT("*",Demo!$A82)&amp;""&amp;tblInputSheet[[#This Row],[Process]]), "")</f>
        <v>********DME Event Validation Lookup Service</v>
      </c>
      <c r="G82" s="6" t="str">
        <f>IFERROR(IF(tblInputSheet[[#This Row],[Hosted Platform]] = "-", "", VLOOKUP(tblInputSheet[[#This Row],[Hosted Platform]], tblHosted_PlatformOwner[], 2,FALSE)), "")</f>
        <v>CC001</v>
      </c>
      <c r="H82" s="6" t="str">
        <f>IFERROR(IF(tblInputSheet[[#This Row],[Hosted Platform]] = "-", "", VLOOKUP(tblInputSheet[[#This Row],[Hosted Platform]], tblHosted_PlatformOwner[], 1,FALSE)), "")</f>
        <v>PCF</v>
      </c>
      <c r="I82" s="6" t="str">
        <f>IFERROR(IF(tblInputSheet[[#This Row],[Provider]] = "-", "", VLOOKUP(tblInputSheet[[#This Row],[Provider]], tblParticipants[], 2,FALSE)), "")</f>
        <v>PP001</v>
      </c>
      <c r="J82" s="6" t="str">
        <f>IFERROR(IF(tblInputSheet[[#This Row],[Provider]] = "-", "", VLOOKUP(tblInputSheet[[#This Row],[Provider]], tblParticipants[], 1,FALSE)), "")</f>
        <v>Key-Claims Adjudication</v>
      </c>
      <c r="K82" s="6" t="str">
        <f>IFERROR(IF(tblInputSheet[[#This Row],[Consumer]] = "-", "", VLOOKUP(tblInputSheet[[#This Row],[Consumer]], tblParticipants[], 2,FALSE)), "")</f>
        <v>PP001</v>
      </c>
      <c r="L82" s="6" t="str">
        <f>IFERROR(IF(tblInputSheet[[#This Row],[Consumer]] = "-", "", VLOOKUP(tblInputSheet[[#This Row],[Consumer]], tblParticipants[], 1,FALSE)), "")</f>
        <v>Key-Claims Adjudication</v>
      </c>
      <c r="M82" s="6" t="str">
        <f>IFERROR(IF(tblInputSheet[[#This Row],[Integration Pattern]] = "-", "", VLOOKUP(tblInputSheet[[#This Row],[Integration Pattern]], tblIntegrationPartten[], 2,FALSE)), "")</f>
        <v>IP001</v>
      </c>
      <c r="N82" s="6" t="str">
        <f>IFERROR(IF(tblInputSheet[[#This Row],[Integration Pattern]] = "-", "", VLOOKUP(tblInputSheet[[#This Row],[Integration Pattern]], tblIntegrationPartten[], 1,FALSE)), "")</f>
        <v>PCF Internal (C-to-C)</v>
      </c>
      <c r="O82" s="6" t="str">
        <f>tblDisplaySheet[[#This Row],[Current State]]</f>
        <v>Y</v>
      </c>
      <c r="P82" s="6" t="str">
        <f>tblDisplaySheet[[#This Row],[Confidence Factor]]</f>
        <v>Low</v>
      </c>
      <c r="Q82" s="6">
        <f>tblDisplaySheet[[#This Row],[Count of Invocations]]</f>
        <v>0</v>
      </c>
      <c r="R82" s="6">
        <f>tblDisplaySheet[[#This Row],[DB Calls (ms)]]</f>
        <v>5</v>
      </c>
      <c r="S82" s="6">
        <f>tblDisplaySheet[[#This Row],[Logic (ms)]]</f>
        <v>30</v>
      </c>
      <c r="T82" s="6">
        <f>tblDisplaySheet[[#This Row],[Rules (ms)]]</f>
        <v>0</v>
      </c>
      <c r="U82" s="6">
        <f>tblDisplaySheet[[#This Row],[Latency (ms)]]</f>
        <v>5</v>
      </c>
      <c r="V82" s="6">
        <f>tblDisplaySheet[[#This Row],[Total Process Path Length]]</f>
        <v>0</v>
      </c>
      <c r="W82" s="6">
        <f>tblDisplaySheet[[#This Row],[Total Process Time]]</f>
        <v>0</v>
      </c>
      <c r="X82" s="6">
        <f>tblDisplaySheet[[#This Row],[Total Process Path Length]]</f>
        <v>0</v>
      </c>
      <c r="Y82" s="6">
        <f>tblDisplaySheet[[#This Row],[Process NFR]]</f>
        <v>50</v>
      </c>
      <c r="Z82" s="6">
        <f>tblDisplaySheet[[#This Row],[Total Process NFR]]</f>
        <v>0</v>
      </c>
      <c r="AA82" s="6">
        <f>tblDisplaySheet[[#This Row],[Total Process Path Length NFR]]</f>
        <v>0</v>
      </c>
      <c r="AB82" s="6" t="str">
        <f>tblDisplaySheet[[#This Row],[Status]]</f>
        <v>On Target</v>
      </c>
      <c r="AC82" s="6" t="str">
        <f>tblDisplaySheet[[#This Row],[Status]]</f>
        <v>On Target</v>
      </c>
      <c r="AD82" s="6" t="str">
        <f>tblDisplaySheet[[#This Row],[Is Leaf?]]</f>
        <v>Y</v>
      </c>
      <c r="AE82" s="6" t="str">
        <f>tblDisplaySheet[[#This Row],[Owner]]</f>
        <v>Sankar</v>
      </c>
    </row>
    <row r="83" spans="1:31" x14ac:dyDescent="0.25">
      <c r="A83" s="6">
        <f>tblDisplaySheet[[#This Row],[Link]]</f>
        <v>19</v>
      </c>
      <c r="B83" s="6">
        <f>tblDisplaySheet[[#This Row],[Level]]</f>
        <v>4</v>
      </c>
      <c r="C83" s="6">
        <f>tblDisplaySheet[[#This Row],[Sl.No]]</f>
        <v>81</v>
      </c>
      <c r="D83" s="6" t="str">
        <f>tblDisplaySheet[[#This Row],[Group]]</f>
        <v>Service Level</v>
      </c>
      <c r="E83" s="6" t="str">
        <f>TEXT(tblInputSheet[[#This Row],[Sl.No]], "000")&amp; ":"&amp; tblInputSheet[[#This Row],[Process]]</f>
        <v>081:Post TPL</v>
      </c>
      <c r="F83" s="6" t="str">
        <f>IFERROR(IF(tblInputSheet[[#This Row],[Process]] = "", "", REPT("*",Demo!$A83)&amp;""&amp;tblInputSheet[[#This Row],[Process]]), "")</f>
        <v>****Post TPL</v>
      </c>
      <c r="G83" s="6" t="str">
        <f>IFERROR(IF(tblInputSheet[[#This Row],[Hosted Platform]] = "-", "", VLOOKUP(tblInputSheet[[#This Row],[Hosted Platform]], tblHosted_PlatformOwner[], 2,FALSE)), "")</f>
        <v>CC004</v>
      </c>
      <c r="H83" s="6" t="str">
        <f>IFERROR(IF(tblInputSheet[[#This Row],[Hosted Platform]] = "-", "", VLOOKUP(tblInputSheet[[#This Row],[Hosted Platform]], tblHosted_PlatformOwner[], 1,FALSE)), "")</f>
        <v>Legacy BC</v>
      </c>
      <c r="I83" s="6" t="str">
        <f>IFERROR(IF(tblInputSheet[[#This Row],[Provider]] = "-", "", VLOOKUP(tblInputSheet[[#This Row],[Provider]], tblParticipants[], 2,FALSE)), "")</f>
        <v>PP004</v>
      </c>
      <c r="J83" s="6" t="str">
        <f>IFERROR(IF(tblInputSheet[[#This Row],[Provider]] = "-", "", VLOOKUP(tblInputSheet[[#This Row],[Provider]], tblParticipants[], 1,FALSE)), "")</f>
        <v>Claims-Legacy</v>
      </c>
      <c r="K83" s="6" t="str">
        <f>IFERROR(IF(tblInputSheet[[#This Row],[Consumer]] = "-", "", VLOOKUP(tblInputSheet[[#This Row],[Consumer]], tblParticipants[], 2,FALSE)), "")</f>
        <v>PP004</v>
      </c>
      <c r="L83" s="6" t="str">
        <f>IFERROR(IF(tblInputSheet[[#This Row],[Consumer]] = "-", "", VLOOKUP(tblInputSheet[[#This Row],[Consumer]], tblParticipants[], 1,FALSE)), "")</f>
        <v>Claims-Legacy</v>
      </c>
      <c r="M83" s="6" t="str">
        <f>IFERROR(IF(tblInputSheet[[#This Row],[Integration Pattern]] = "-", "", VLOOKUP(tblInputSheet[[#This Row],[Integration Pattern]], tblIntegrationPartten[], 2,FALSE)), "")</f>
        <v>IP010</v>
      </c>
      <c r="N83" s="6" t="str">
        <f>IFERROR(IF(tblInputSheet[[#This Row],[Integration Pattern]] = "-", "", VLOOKUP(tblInputSheet[[#This Row],[Integration Pattern]], tblIntegrationPartten[], 1,FALSE)), "")</f>
        <v>BC Internal</v>
      </c>
      <c r="O83" s="6" t="str">
        <f>tblDisplaySheet[[#This Row],[Current State]]</f>
        <v>Y</v>
      </c>
      <c r="P83" s="6" t="str">
        <f>tblDisplaySheet[[#This Row],[Confidence Factor]]</f>
        <v>Group</v>
      </c>
      <c r="Q83" s="6">
        <f>tblDisplaySheet[[#This Row],[Count of Invocations]]</f>
        <v>1</v>
      </c>
      <c r="R83" s="6">
        <f>tblDisplaySheet[[#This Row],[DB Calls (ms)]]</f>
        <v>0</v>
      </c>
      <c r="S83" s="6">
        <f>tblDisplaySheet[[#This Row],[Logic (ms)]]</f>
        <v>50</v>
      </c>
      <c r="T83" s="6">
        <f>tblDisplaySheet[[#This Row],[Rules (ms)]]</f>
        <v>0</v>
      </c>
      <c r="U83" s="6">
        <f>tblDisplaySheet[[#This Row],[Latency (ms)]]</f>
        <v>0</v>
      </c>
      <c r="V83" s="6">
        <f>tblDisplaySheet[[#This Row],[Total Process Path Length]]</f>
        <v>50</v>
      </c>
      <c r="W83" s="6">
        <f>tblDisplaySheet[[#This Row],[Total Process Time]]</f>
        <v>50</v>
      </c>
      <c r="X83" s="6">
        <f>tblDisplaySheet[[#This Row],[Total Process Path Length]]</f>
        <v>50</v>
      </c>
      <c r="Y83" s="6">
        <f>tblDisplaySheet[[#This Row],[Process NFR]]</f>
        <v>50</v>
      </c>
      <c r="Z83" s="6">
        <f>tblDisplaySheet[[#This Row],[Total Process NFR]]</f>
        <v>50</v>
      </c>
      <c r="AA83" s="6">
        <f>tblDisplaySheet[[#This Row],[Total Process Path Length NFR]]</f>
        <v>50</v>
      </c>
      <c r="AB83" s="6" t="str">
        <f>tblDisplaySheet[[#This Row],[Status]]</f>
        <v>On Target</v>
      </c>
      <c r="AC83" s="6" t="str">
        <f>tblDisplaySheet[[#This Row],[Status]]</f>
        <v>On Target</v>
      </c>
      <c r="AD83" s="6" t="str">
        <f>tblDisplaySheet[[#This Row],[Is Leaf?]]</f>
        <v>Y</v>
      </c>
      <c r="AE83" s="6" t="str">
        <f>tblDisplaySheet[[#This Row],[Owner]]</f>
        <v>Alak</v>
      </c>
    </row>
    <row r="84" spans="1:31" x14ac:dyDescent="0.25">
      <c r="A84" s="6">
        <f>tblDisplaySheet[[#This Row],[Link]]</f>
        <v>2</v>
      </c>
      <c r="B84" s="6">
        <f>tblDisplaySheet[[#This Row],[Level]]</f>
        <v>2</v>
      </c>
      <c r="C84" s="6">
        <f>tblDisplaySheet[[#This Row],[Sl.No]]</f>
        <v>82</v>
      </c>
      <c r="D84" s="6" t="str">
        <f>tblDisplaySheet[[#This Row],[Group]]</f>
        <v>Claim Release</v>
      </c>
      <c r="E84" s="6" t="str">
        <f>TEXT(tblInputSheet[[#This Row],[Sl.No]], "000")&amp; ":"&amp; tblInputSheet[[#This Row],[Process]]</f>
        <v>082:Claim Release</v>
      </c>
      <c r="F84" s="6" t="str">
        <f>IFERROR(IF(tblInputSheet[[#This Row],[Process]] = "", "", REPT("*",Demo!$A84)&amp;""&amp;tblInputSheet[[#This Row],[Process]]), "")</f>
        <v>**Claim Release</v>
      </c>
      <c r="G84" s="6" t="str">
        <f>IFERROR(IF(tblInputSheet[[#This Row],[Hosted Platform]] = "-", "", VLOOKUP(tblInputSheet[[#This Row],[Hosted Platform]], tblHosted_PlatformOwner[], 2,FALSE)), "")</f>
        <v>CC000</v>
      </c>
      <c r="H84" s="6" t="str">
        <f>IFERROR(IF(tblInputSheet[[#This Row],[Hosted Platform]] = "-", "", VLOOKUP(tblInputSheet[[#This Row],[Hosted Platform]], tblHosted_PlatformOwner[], 1,FALSE)), "")</f>
        <v>Business Process</v>
      </c>
      <c r="I84" s="6" t="str">
        <f>IFERROR(IF(tblInputSheet[[#This Row],[Provider]] = "-", "", VLOOKUP(tblInputSheet[[#This Row],[Provider]], tblParticipants[], 2,FALSE)), "")</f>
        <v>PP000</v>
      </c>
      <c r="J84" s="6" t="str">
        <f>IFERROR(IF(tblInputSheet[[#This Row],[Provider]] = "-", "", VLOOKUP(tblInputSheet[[#This Row],[Provider]], tblParticipants[], 1,FALSE)), "")</f>
        <v>NA</v>
      </c>
      <c r="K84" s="6" t="str">
        <f>IFERROR(IF(tblInputSheet[[#This Row],[Consumer]] = "-", "", VLOOKUP(tblInputSheet[[#This Row],[Consumer]], tblParticipants[], 2,FALSE)), "")</f>
        <v>PP000</v>
      </c>
      <c r="L84" s="6" t="str">
        <f>IFERROR(IF(tblInputSheet[[#This Row],[Consumer]] = "-", "", VLOOKUP(tblInputSheet[[#This Row],[Consumer]], tblParticipants[], 1,FALSE)), "")</f>
        <v>NA</v>
      </c>
      <c r="M84" s="6" t="str">
        <f>IFERROR(IF(tblInputSheet[[#This Row],[Integration Pattern]] = "-", "", VLOOKUP(tblInputSheet[[#This Row],[Integration Pattern]], tblIntegrationPartten[], 2,FALSE)), "")</f>
        <v>IP000</v>
      </c>
      <c r="N84" s="6" t="str">
        <f>IFERROR(IF(tblInputSheet[[#This Row],[Integration Pattern]] = "-", "", VLOOKUP(tblInputSheet[[#This Row],[Integration Pattern]], tblIntegrationPartten[], 1,FALSE)), "")</f>
        <v>Group</v>
      </c>
      <c r="O84" s="6" t="str">
        <f>tblDisplaySheet[[#This Row],[Current State]]</f>
        <v>Y</v>
      </c>
      <c r="P84" s="6" t="str">
        <f>tblDisplaySheet[[#This Row],[Confidence Factor]]</f>
        <v>Low</v>
      </c>
      <c r="Q84" s="6">
        <f>tblDisplaySheet[[#This Row],[Count of Invocations]]</f>
        <v>0</v>
      </c>
      <c r="R84" s="6">
        <f>tblDisplaySheet[[#This Row],[DB Calls (ms)]]</f>
        <v>0</v>
      </c>
      <c r="S84" s="6">
        <f>tblDisplaySheet[[#This Row],[Logic (ms)]]</f>
        <v>0</v>
      </c>
      <c r="T84" s="6">
        <f>tblDisplaySheet[[#This Row],[Rules (ms)]]</f>
        <v>0</v>
      </c>
      <c r="U84" s="6">
        <f>tblDisplaySheet[[#This Row],[Latency (ms)]]</f>
        <v>0</v>
      </c>
      <c r="V84" s="6">
        <f>tblDisplaySheet[[#This Row],[Total Process Path Length]]</f>
        <v>200</v>
      </c>
      <c r="W84" s="6">
        <f>tblDisplaySheet[[#This Row],[Total Process Time]]</f>
        <v>0</v>
      </c>
      <c r="X84" s="6">
        <f>tblDisplaySheet[[#This Row],[Total Process Path Length]]</f>
        <v>200</v>
      </c>
      <c r="Y84" s="6">
        <f>tblDisplaySheet[[#This Row],[Process NFR]]</f>
        <v>0</v>
      </c>
      <c r="Z84" s="6">
        <f>tblDisplaySheet[[#This Row],[Total Process NFR]]</f>
        <v>0</v>
      </c>
      <c r="AA84" s="6">
        <f>tblDisplaySheet[[#This Row],[Total Process Path Length NFR]]</f>
        <v>200</v>
      </c>
      <c r="AB84" s="6" t="str">
        <f>tblDisplaySheet[[#This Row],[Status]]</f>
        <v>On Target</v>
      </c>
      <c r="AC84" s="6" t="str">
        <f>tblDisplaySheet[[#This Row],[Status]]</f>
        <v>On Target</v>
      </c>
      <c r="AD84" s="6" t="str">
        <f>tblDisplaySheet[[#This Row],[Is Leaf?]]</f>
        <v>G</v>
      </c>
      <c r="AE84" s="6" t="str">
        <f>tblDisplaySheet[[#This Row],[Owner]]</f>
        <v>Alak</v>
      </c>
    </row>
    <row r="85" spans="1:31" x14ac:dyDescent="0.25">
      <c r="A85" s="6">
        <f>tblDisplaySheet[[#This Row],[Link]]</f>
        <v>82</v>
      </c>
      <c r="B85" s="6">
        <f>tblDisplaySheet[[#This Row],[Level]]</f>
        <v>3</v>
      </c>
      <c r="C85" s="6">
        <f>tblDisplaySheet[[#This Row],[Sl.No]]</f>
        <v>83</v>
      </c>
      <c r="D85" s="6" t="str">
        <f>tblDisplaySheet[[#This Row],[Group]]</f>
        <v>Claim Release</v>
      </c>
      <c r="E85" s="6" t="str">
        <f>TEXT(tblInputSheet[[#This Row],[Sl.No]], "000")&amp; ":"&amp; tblInputSheet[[#This Row],[Process]]</f>
        <v>083:Claim Release BC</v>
      </c>
      <c r="F85" s="6" t="str">
        <f>IFERROR(IF(tblInputSheet[[#This Row],[Process]] = "", "", REPT("*",Demo!$A85)&amp;""&amp;tblInputSheet[[#This Row],[Process]]), "")</f>
        <v>***Claim Release BC</v>
      </c>
      <c r="G85" s="6" t="str">
        <f>IFERROR(IF(tblInputSheet[[#This Row],[Hosted Platform]] = "-", "", VLOOKUP(tblInputSheet[[#This Row],[Hosted Platform]], tblHosted_PlatformOwner[], 2,FALSE)), "")</f>
        <v>CC004</v>
      </c>
      <c r="H85" s="6" t="str">
        <f>IFERROR(IF(tblInputSheet[[#This Row],[Hosted Platform]] = "-", "", VLOOKUP(tblInputSheet[[#This Row],[Hosted Platform]], tblHosted_PlatformOwner[], 1,FALSE)), "")</f>
        <v>Legacy BC</v>
      </c>
      <c r="I85" s="6" t="str">
        <f>IFERROR(IF(tblInputSheet[[#This Row],[Provider]] = "-", "", VLOOKUP(tblInputSheet[[#This Row],[Provider]], tblParticipants[], 2,FALSE)), "")</f>
        <v>PP004</v>
      </c>
      <c r="J85" s="6" t="str">
        <f>IFERROR(IF(tblInputSheet[[#This Row],[Provider]] = "-", "", VLOOKUP(tblInputSheet[[#This Row],[Provider]], tblParticipants[], 1,FALSE)), "")</f>
        <v>Claims-Legacy</v>
      </c>
      <c r="K85" s="6" t="str">
        <f>IFERROR(IF(tblInputSheet[[#This Row],[Consumer]] = "-", "", VLOOKUP(tblInputSheet[[#This Row],[Consumer]], tblParticipants[], 2,FALSE)), "")</f>
        <v>PP004</v>
      </c>
      <c r="L85" s="6" t="str">
        <f>IFERROR(IF(tblInputSheet[[#This Row],[Consumer]] = "-", "", VLOOKUP(tblInputSheet[[#This Row],[Consumer]], tblParticipants[], 1,FALSE)), "")</f>
        <v>Claims-Legacy</v>
      </c>
      <c r="M85" s="6" t="str">
        <f>IFERROR(IF(tblInputSheet[[#This Row],[Integration Pattern]] = "-", "", VLOOKUP(tblInputSheet[[#This Row],[Integration Pattern]], tblIntegrationPartten[], 2,FALSE)), "")</f>
        <v>IP010</v>
      </c>
      <c r="N85" s="6" t="str">
        <f>IFERROR(IF(tblInputSheet[[#This Row],[Integration Pattern]] = "-", "", VLOOKUP(tblInputSheet[[#This Row],[Integration Pattern]], tblIntegrationPartten[], 1,FALSE)), "")</f>
        <v>BC Internal</v>
      </c>
      <c r="O85" s="6" t="str">
        <f>tblDisplaySheet[[#This Row],[Current State]]</f>
        <v>Y</v>
      </c>
      <c r="P85" s="6" t="str">
        <f>tblDisplaySheet[[#This Row],[Confidence Factor]]</f>
        <v>Group</v>
      </c>
      <c r="Q85" s="6">
        <f>tblDisplaySheet[[#This Row],[Count of Invocations]]</f>
        <v>1</v>
      </c>
      <c r="R85" s="6">
        <f>tblDisplaySheet[[#This Row],[DB Calls (ms)]]</f>
        <v>0</v>
      </c>
      <c r="S85" s="6">
        <f>tblDisplaySheet[[#This Row],[Logic (ms)]]</f>
        <v>50</v>
      </c>
      <c r="T85" s="6">
        <f>tblDisplaySheet[[#This Row],[Rules (ms)]]</f>
        <v>0</v>
      </c>
      <c r="U85" s="6">
        <f>tblDisplaySheet[[#This Row],[Latency (ms)]]</f>
        <v>0</v>
      </c>
      <c r="V85" s="6">
        <f>tblDisplaySheet[[#This Row],[Total Process Path Length]]</f>
        <v>200</v>
      </c>
      <c r="W85" s="6">
        <f>tblDisplaySheet[[#This Row],[Total Process Time]]</f>
        <v>50</v>
      </c>
      <c r="X85" s="6">
        <f>tblDisplaySheet[[#This Row],[Total Process Path Length]]</f>
        <v>200</v>
      </c>
      <c r="Y85" s="6">
        <f>tblDisplaySheet[[#This Row],[Process NFR]]</f>
        <v>50</v>
      </c>
      <c r="Z85" s="6">
        <f>tblDisplaySheet[[#This Row],[Total Process NFR]]</f>
        <v>50</v>
      </c>
      <c r="AA85" s="6">
        <f>tblDisplaySheet[[#This Row],[Total Process Path Length NFR]]</f>
        <v>200</v>
      </c>
      <c r="AB85" s="6" t="str">
        <f>tblDisplaySheet[[#This Row],[Status]]</f>
        <v>On Target</v>
      </c>
      <c r="AC85" s="6" t="str">
        <f>tblDisplaySheet[[#This Row],[Status]]</f>
        <v>On Target</v>
      </c>
      <c r="AD85" s="6" t="str">
        <f>tblDisplaySheet[[#This Row],[Is Leaf?]]</f>
        <v>N</v>
      </c>
      <c r="AE85" s="6" t="str">
        <f>tblDisplaySheet[[#This Row],[Owner]]</f>
        <v>Alak</v>
      </c>
    </row>
    <row r="86" spans="1:31" x14ac:dyDescent="0.25">
      <c r="A86" s="6">
        <f>tblDisplaySheet[[#This Row],[Link]]</f>
        <v>83</v>
      </c>
      <c r="B86" s="6">
        <f>tblDisplaySheet[[#This Row],[Level]]</f>
        <v>4</v>
      </c>
      <c r="C86" s="6">
        <f>tblDisplaySheet[[#This Row],[Sl.No]]</f>
        <v>84</v>
      </c>
      <c r="D86" s="6" t="str">
        <f>tblDisplaySheet[[#This Row],[Group]]</f>
        <v>Claim Release</v>
      </c>
      <c r="E86" s="6" t="str">
        <f>TEXT(tblInputSheet[[#This Row],[Sl.No]], "000")&amp; ":"&amp; tblInputSheet[[#This Row],[Process]]</f>
        <v>084:Claim Release - Update Keystone Ledger 2.0</v>
      </c>
      <c r="F86" s="6" t="str">
        <f>IFERROR(IF(tblInputSheet[[#This Row],[Process]] = "", "", REPT("*",Demo!$A86)&amp;""&amp;tblInputSheet[[#This Row],[Process]]), "")</f>
        <v>****Claim Release - Update Keystone Ledger 2.0</v>
      </c>
      <c r="G86" s="6" t="str">
        <f>IFERROR(IF(tblInputSheet[[#This Row],[Hosted Platform]] = "-", "", VLOOKUP(tblInputSheet[[#This Row],[Hosted Platform]], tblHosted_PlatformOwner[], 2,FALSE)), "")</f>
        <v>CC004</v>
      </c>
      <c r="H86" s="6" t="str">
        <f>IFERROR(IF(tblInputSheet[[#This Row],[Hosted Platform]] = "-", "", VLOOKUP(tblInputSheet[[#This Row],[Hosted Platform]], tblHosted_PlatformOwner[], 1,FALSE)), "")</f>
        <v>Legacy BC</v>
      </c>
      <c r="I86" s="6" t="str">
        <f>IFERROR(IF(tblInputSheet[[#This Row],[Provider]] = "-", "", VLOOKUP(tblInputSheet[[#This Row],[Provider]], tblParticipants[], 2,FALSE)), "")</f>
        <v>PP004</v>
      </c>
      <c r="J86" s="6" t="str">
        <f>IFERROR(IF(tblInputSheet[[#This Row],[Provider]] = "-", "", VLOOKUP(tblInputSheet[[#This Row],[Provider]], tblParticipants[], 1,FALSE)), "")</f>
        <v>Claims-Legacy</v>
      </c>
      <c r="K86" s="6" t="str">
        <f>IFERROR(IF(tblInputSheet[[#This Row],[Consumer]] = "-", "", VLOOKUP(tblInputSheet[[#This Row],[Consumer]], tblParticipants[], 2,FALSE)), "")</f>
        <v>PP004</v>
      </c>
      <c r="L86" s="6" t="str">
        <f>IFERROR(IF(tblInputSheet[[#This Row],[Consumer]] = "-", "", VLOOKUP(tblInputSheet[[#This Row],[Consumer]], tblParticipants[], 1,FALSE)), "")</f>
        <v>Claims-Legacy</v>
      </c>
      <c r="M86" s="6" t="str">
        <f>IFERROR(IF(tblInputSheet[[#This Row],[Integration Pattern]] = "-", "", VLOOKUP(tblInputSheet[[#This Row],[Integration Pattern]], tblIntegrationPartten[], 2,FALSE)), "")</f>
        <v>IP010</v>
      </c>
      <c r="N86" s="6" t="str">
        <f>IFERROR(IF(tblInputSheet[[#This Row],[Integration Pattern]] = "-", "", VLOOKUP(tblInputSheet[[#This Row],[Integration Pattern]], tblIntegrationPartten[], 1,FALSE)), "")</f>
        <v>BC Internal</v>
      </c>
      <c r="O86" s="6" t="str">
        <f>tblDisplaySheet[[#This Row],[Current State]]</f>
        <v>Y</v>
      </c>
      <c r="P86" s="6" t="str">
        <f>tblDisplaySheet[[#This Row],[Confidence Factor]]</f>
        <v>Group</v>
      </c>
      <c r="Q86" s="6">
        <f>tblDisplaySheet[[#This Row],[Count of Invocations]]</f>
        <v>1</v>
      </c>
      <c r="R86" s="6">
        <f>tblDisplaySheet[[#This Row],[DB Calls (ms)]]</f>
        <v>0</v>
      </c>
      <c r="S86" s="6">
        <f>tblDisplaySheet[[#This Row],[Logic (ms)]]</f>
        <v>100</v>
      </c>
      <c r="T86" s="6">
        <f>tblDisplaySheet[[#This Row],[Rules (ms)]]</f>
        <v>0</v>
      </c>
      <c r="U86" s="6">
        <f>tblDisplaySheet[[#This Row],[Latency (ms)]]</f>
        <v>0</v>
      </c>
      <c r="V86" s="6">
        <f>tblDisplaySheet[[#This Row],[Total Process Path Length]]</f>
        <v>100</v>
      </c>
      <c r="W86" s="6">
        <f>tblDisplaySheet[[#This Row],[Total Process Time]]</f>
        <v>100</v>
      </c>
      <c r="X86" s="6">
        <f>tblDisplaySheet[[#This Row],[Total Process Path Length]]</f>
        <v>100</v>
      </c>
      <c r="Y86" s="6">
        <f>tblDisplaySheet[[#This Row],[Process NFR]]</f>
        <v>100</v>
      </c>
      <c r="Z86" s="6">
        <f>tblDisplaySheet[[#This Row],[Total Process NFR]]</f>
        <v>100</v>
      </c>
      <c r="AA86" s="6">
        <f>tblDisplaySheet[[#This Row],[Total Process Path Length NFR]]</f>
        <v>100</v>
      </c>
      <c r="AB86" s="6" t="str">
        <f>tblDisplaySheet[[#This Row],[Status]]</f>
        <v>On Target</v>
      </c>
      <c r="AC86" s="6" t="str">
        <f>tblDisplaySheet[[#This Row],[Status]]</f>
        <v>On Target</v>
      </c>
      <c r="AD86" s="6" t="str">
        <f>tblDisplaySheet[[#This Row],[Is Leaf?]]</f>
        <v>Y</v>
      </c>
      <c r="AE86" s="6" t="str">
        <f>tblDisplaySheet[[#This Row],[Owner]]</f>
        <v>Alak</v>
      </c>
    </row>
    <row r="87" spans="1:31" x14ac:dyDescent="0.25">
      <c r="A87" s="6">
        <f>tblDisplaySheet[[#This Row],[Link]]</f>
        <v>83</v>
      </c>
      <c r="B87" s="6">
        <f>tblDisplaySheet[[#This Row],[Level]]</f>
        <v>4</v>
      </c>
      <c r="C87" s="6">
        <f>tblDisplaySheet[[#This Row],[Sl.No]]</f>
        <v>85</v>
      </c>
      <c r="D87" s="6" t="str">
        <f>tblDisplaySheet[[#This Row],[Group]]</f>
        <v>Claim Release</v>
      </c>
      <c r="E87" s="6" t="str">
        <f>TEXT(tblInputSheet[[#This Row],[Sl.No]], "000")&amp; ":"&amp; tblInputSheet[[#This Row],[Process]]</f>
        <v>085:Claim Pend Process</v>
      </c>
      <c r="F87" s="6" t="str">
        <f>IFERROR(IF(tblInputSheet[[#This Row],[Process]] = "", "", REPT("*",Demo!$A87)&amp;""&amp;tblInputSheet[[#This Row],[Process]]), "")</f>
        <v>****Claim Pend Process</v>
      </c>
      <c r="G87" s="6" t="str">
        <f>IFERROR(IF(tblInputSheet[[#This Row],[Hosted Platform]] = "-", "", VLOOKUP(tblInputSheet[[#This Row],[Hosted Platform]], tblHosted_PlatformOwner[], 2,FALSE)), "")</f>
        <v>CC004</v>
      </c>
      <c r="H87" s="6" t="str">
        <f>IFERROR(IF(tblInputSheet[[#This Row],[Hosted Platform]] = "-", "", VLOOKUP(tblInputSheet[[#This Row],[Hosted Platform]], tblHosted_PlatformOwner[], 1,FALSE)), "")</f>
        <v>Legacy BC</v>
      </c>
      <c r="I87" s="6" t="str">
        <f>IFERROR(IF(tblInputSheet[[#This Row],[Provider]] = "-", "", VLOOKUP(tblInputSheet[[#This Row],[Provider]], tblParticipants[], 2,FALSE)), "")</f>
        <v>PP004</v>
      </c>
      <c r="J87" s="6" t="str">
        <f>IFERROR(IF(tblInputSheet[[#This Row],[Provider]] = "-", "", VLOOKUP(tblInputSheet[[#This Row],[Provider]], tblParticipants[], 1,FALSE)), "")</f>
        <v>Claims-Legacy</v>
      </c>
      <c r="K87" s="6" t="str">
        <f>IFERROR(IF(tblInputSheet[[#This Row],[Consumer]] = "-", "", VLOOKUP(tblInputSheet[[#This Row],[Consumer]], tblParticipants[], 2,FALSE)), "")</f>
        <v>PP004</v>
      </c>
      <c r="L87" s="6" t="str">
        <f>IFERROR(IF(tblInputSheet[[#This Row],[Consumer]] = "-", "", VLOOKUP(tblInputSheet[[#This Row],[Consumer]], tblParticipants[], 1,FALSE)), "")</f>
        <v>Claims-Legacy</v>
      </c>
      <c r="M87" s="6" t="str">
        <f>IFERROR(IF(tblInputSheet[[#This Row],[Integration Pattern]] = "-", "", VLOOKUP(tblInputSheet[[#This Row],[Integration Pattern]], tblIntegrationPartten[], 2,FALSE)), "")</f>
        <v>IP010</v>
      </c>
      <c r="N87" s="6" t="str">
        <f>IFERROR(IF(tblInputSheet[[#This Row],[Integration Pattern]] = "-", "", VLOOKUP(tblInputSheet[[#This Row],[Integration Pattern]], tblIntegrationPartten[], 1,FALSE)), "")</f>
        <v>BC Internal</v>
      </c>
      <c r="O87" s="6" t="str">
        <f>tblDisplaySheet[[#This Row],[Current State]]</f>
        <v>Y</v>
      </c>
      <c r="P87" s="6" t="str">
        <f>tblDisplaySheet[[#This Row],[Confidence Factor]]</f>
        <v>Group</v>
      </c>
      <c r="Q87" s="6">
        <f>tblDisplaySheet[[#This Row],[Count of Invocations]]</f>
        <v>1</v>
      </c>
      <c r="R87" s="6">
        <f>tblDisplaySheet[[#This Row],[DB Calls (ms)]]</f>
        <v>0</v>
      </c>
      <c r="S87" s="6">
        <f>tblDisplaySheet[[#This Row],[Logic (ms)]]</f>
        <v>50</v>
      </c>
      <c r="T87" s="6">
        <f>tblDisplaySheet[[#This Row],[Rules (ms)]]</f>
        <v>0</v>
      </c>
      <c r="U87" s="6">
        <f>tblDisplaySheet[[#This Row],[Latency (ms)]]</f>
        <v>0</v>
      </c>
      <c r="V87" s="6">
        <f>tblDisplaySheet[[#This Row],[Total Process Path Length]]</f>
        <v>50</v>
      </c>
      <c r="W87" s="6">
        <f>tblDisplaySheet[[#This Row],[Total Process Time]]</f>
        <v>50</v>
      </c>
      <c r="X87" s="6">
        <f>tblDisplaySheet[[#This Row],[Total Process Path Length]]</f>
        <v>50</v>
      </c>
      <c r="Y87" s="6">
        <f>tblDisplaySheet[[#This Row],[Process NFR]]</f>
        <v>50</v>
      </c>
      <c r="Z87" s="6">
        <f>tblDisplaySheet[[#This Row],[Total Process NFR]]</f>
        <v>50</v>
      </c>
      <c r="AA87" s="6">
        <f>tblDisplaySheet[[#This Row],[Total Process Path Length NFR]]</f>
        <v>50</v>
      </c>
      <c r="AB87" s="6" t="str">
        <f>tblDisplaySheet[[#This Row],[Status]]</f>
        <v>On Target</v>
      </c>
      <c r="AC87" s="6" t="str">
        <f>tblDisplaySheet[[#This Row],[Status]]</f>
        <v>On Target</v>
      </c>
      <c r="AD87" s="6" t="str">
        <f>tblDisplaySheet[[#This Row],[Is Leaf?]]</f>
        <v>Y</v>
      </c>
      <c r="AE87" s="6" t="str">
        <f>tblDisplaySheet[[#This Row],[Owner]]</f>
        <v>Alak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CE1D6-A45F-4271-8EF1-8500E3666ACE}">
  <sheetPr codeName="Sheet8"/>
  <dimension ref="A2:X87"/>
  <sheetViews>
    <sheetView topLeftCell="C1" workbookViewId="0">
      <selection activeCell="N35" sqref="N35"/>
    </sheetView>
  </sheetViews>
  <sheetFormatPr defaultRowHeight="15" x14ac:dyDescent="0.25"/>
  <cols>
    <col min="1" max="1" width="7.42578125" style="7" customWidth="1"/>
    <col min="2" max="2" width="8.140625" style="7" customWidth="1"/>
    <col min="3" max="3" width="8.28515625" style="7" customWidth="1"/>
    <col min="4" max="4" width="31" style="7" customWidth="1"/>
    <col min="5" max="5" width="61.5703125" style="7" bestFit="1" customWidth="1"/>
    <col min="6" max="6" width="20.5703125" style="7" customWidth="1"/>
    <col min="7" max="8" width="23" style="7" bestFit="1" customWidth="1"/>
    <col min="9" max="9" width="23.85546875" style="7" customWidth="1"/>
    <col min="10" max="10" width="9.140625" style="7"/>
    <col min="11" max="11" width="20" style="7" customWidth="1"/>
    <col min="12" max="12" width="14.85546875" style="7" customWidth="1"/>
    <col min="13" max="13" width="19.140625" style="7" customWidth="1"/>
    <col min="14" max="14" width="21.28515625" style="7" customWidth="1"/>
    <col min="15" max="15" width="14.5703125" style="7" customWidth="1"/>
    <col min="16" max="16" width="12" style="7" customWidth="1"/>
    <col min="17" max="17" width="12.42578125" style="7" customWidth="1"/>
    <col min="18" max="18" width="14.28515625" style="7" customWidth="1"/>
    <col min="19" max="19" width="13.85546875" style="7" customWidth="1"/>
    <col min="20" max="20" width="23" style="7" customWidth="1"/>
    <col min="21" max="21" width="19.5703125" style="7" customWidth="1"/>
    <col min="22" max="22" width="25.5703125" style="7" customWidth="1"/>
    <col min="23" max="23" width="29.5703125" style="7" customWidth="1"/>
    <col min="24" max="24" width="12.42578125" style="7" customWidth="1"/>
    <col min="25" max="25" width="22.5703125" style="7" customWidth="1"/>
    <col min="26" max="16384" width="9.140625" style="7"/>
  </cols>
  <sheetData>
    <row r="2" spans="1:24" ht="30" x14ac:dyDescent="0.25">
      <c r="A2" s="1" t="s">
        <v>0</v>
      </c>
      <c r="B2" s="1" t="s">
        <v>1</v>
      </c>
      <c r="C2" s="1" t="s">
        <v>165</v>
      </c>
      <c r="D2" s="1" t="s">
        <v>3</v>
      </c>
      <c r="E2" s="1" t="s">
        <v>4</v>
      </c>
      <c r="F2" s="1" t="s">
        <v>148</v>
      </c>
      <c r="G2" s="1" t="s">
        <v>31</v>
      </c>
      <c r="H2" s="1" t="s">
        <v>149</v>
      </c>
      <c r="I2" s="1" t="s">
        <v>5</v>
      </c>
      <c r="J2" s="1" t="s">
        <v>6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156</v>
      </c>
      <c r="S2" s="1" t="s">
        <v>157</v>
      </c>
      <c r="T2" s="1" t="s">
        <v>158</v>
      </c>
      <c r="U2" s="1" t="s">
        <v>159</v>
      </c>
      <c r="V2" s="1" t="s">
        <v>161</v>
      </c>
      <c r="W2" s="1" t="s">
        <v>226</v>
      </c>
      <c r="X2" s="1" t="s">
        <v>244</v>
      </c>
    </row>
    <row r="3" spans="1:24" x14ac:dyDescent="0.25">
      <c r="A3" s="7">
        <f>tblDisplaySheet[[#This Row],[Link]]</f>
        <v>0</v>
      </c>
      <c r="B3" s="7">
        <f>tblDisplaySheet[[#This Row],[Level]]</f>
        <v>0</v>
      </c>
      <c r="C3" s="7">
        <f>tblDisplaySheet[[#This Row],[Sl.No]]</f>
        <v>1</v>
      </c>
      <c r="D3" s="7" t="str">
        <f>tblDisplaySheet[[#This Row],[Group]]</f>
        <v>Claim Adjudication</v>
      </c>
      <c r="E3" s="7" t="str">
        <f>TEXT(tblInputSheet[[#This Row],[Sl.No]], "000")&amp; ":"&amp; tblInputSheet[[#This Row],[Process]]</f>
        <v>001:Claim Adjudication</v>
      </c>
      <c r="F3" s="7" t="str">
        <f>IFERROR(IF(tblInputSheet[[#This Row],[Hosted Platform]] = "-", "", VLOOKUP(tblInputSheet[[#This Row],[Hosted Platform]], tblHosted_PlatformOwner[], 2,FALSE)), "")</f>
        <v>CC000</v>
      </c>
      <c r="G3" s="7" t="str">
        <f>IFERROR(IF(tblInputSheet[[#This Row],[Provider]] = "-", "", VLOOKUP(tblInputSheet[[#This Row],[Provider]], tblParticipants[], 2,FALSE)), "")</f>
        <v>PP000</v>
      </c>
      <c r="H3" s="7" t="str">
        <f>IFERROR(IF(tblInputSheet[[#This Row],[Consumer]] = "-", "", VLOOKUP(tblInputSheet[[#This Row],[Consumer]], tblParticipants[], 2,FALSE)), "")</f>
        <v>PP000</v>
      </c>
      <c r="I3" s="7" t="str">
        <f>IFERROR(IF(tblInputSheet[[#This Row],[Integration Pattern]] = "-", "", VLOOKUP(tblInputSheet[[#This Row],[Integration Pattern]], tblIntegrationPartten[], 2,FALSE)), "")</f>
        <v>IP000</v>
      </c>
      <c r="J3" s="7" t="str">
        <f>tblDisplaySheet[[#This Row],[Current State]]</f>
        <v>Y</v>
      </c>
      <c r="K3" s="7" t="str">
        <f>tblDisplaySheet[[#This Row],[Confidence Factor]]</f>
        <v>Group</v>
      </c>
      <c r="L3" s="7">
        <f>tblDisplaySheet[[#This Row],[Count of Invocations]]</f>
        <v>0</v>
      </c>
      <c r="M3" s="7">
        <f>tblDisplaySheet[[#This Row],[DB Calls (ms)]]</f>
        <v>0</v>
      </c>
      <c r="N3" s="7">
        <f>tblDisplaySheet[[#This Row],[Logic (ms)]]</f>
        <v>0</v>
      </c>
      <c r="O3" s="7">
        <f>tblDisplaySheet[[#This Row],[Rules (ms)]]</f>
        <v>0</v>
      </c>
      <c r="P3" s="7">
        <f>tblDisplaySheet[[#This Row],[Latency (ms)]]</f>
        <v>0</v>
      </c>
      <c r="Q3" s="7">
        <f>tblDisplaySheet[[#This Row],[Latency (ms)]]</f>
        <v>0</v>
      </c>
      <c r="R3" s="7">
        <f>tblDisplaySheet[[#This Row],[Total Process Path Length]]</f>
        <v>4334</v>
      </c>
      <c r="S3" s="7">
        <f>tblDisplaySheet[[#This Row],[Total Process Time]]</f>
        <v>0</v>
      </c>
      <c r="T3" s="7">
        <f>tblDisplaySheet[[#This Row],[Total Process Path Length]]</f>
        <v>4334</v>
      </c>
      <c r="U3" s="7">
        <f>tblDisplaySheet[[#This Row],[Total Process Path Length NFR]]</f>
        <v>4743</v>
      </c>
      <c r="V3" s="7" t="str">
        <f>tblDisplaySheet[[#This Row],[Status]]</f>
        <v>On Target</v>
      </c>
      <c r="W3" s="7" t="str">
        <f>tblDisplaySheet[[#This Row],[Is Leaf?]]</f>
        <v>G</v>
      </c>
      <c r="X3" s="7" t="str">
        <f>tblDisplaySheet[[#This Row],[Owner]]</f>
        <v>JB</v>
      </c>
    </row>
    <row r="4" spans="1:24" x14ac:dyDescent="0.25">
      <c r="A4" s="7">
        <f>tblDisplaySheet[[#This Row],[Link]]</f>
        <v>1</v>
      </c>
      <c r="B4" s="7">
        <f>tblDisplaySheet[[#This Row],[Level]]</f>
        <v>1</v>
      </c>
      <c r="C4" s="7">
        <f>tblDisplaySheet[[#This Row],[Sl.No]]</f>
        <v>2</v>
      </c>
      <c r="D4" s="7" t="str">
        <f>tblDisplaySheet[[#This Row],[Group]]</f>
        <v>RTIS</v>
      </c>
      <c r="E4" s="7" t="str">
        <f>TEXT(tblInputSheet[[#This Row],[Sl.No]], "000")&amp; ":"&amp; tblInputSheet[[#This Row],[Process]]</f>
        <v>002:RTIS</v>
      </c>
      <c r="F4" s="7" t="str">
        <f>IFERROR(IF(tblInputSheet[[#This Row],[Hosted Platform]] = "-", "", VLOOKUP(tblInputSheet[[#This Row],[Hosted Platform]], tblHosted_PlatformOwner[], 2,FALSE)), "")</f>
        <v>CC004</v>
      </c>
      <c r="G4" s="7" t="str">
        <f>IFERROR(IF(tblInputSheet[[#This Row],[Provider]] = "-", "", VLOOKUP(tblInputSheet[[#This Row],[Provider]], tblParticipants[], 2,FALSE)), "")</f>
        <v>PP004</v>
      </c>
      <c r="H4" s="7" t="str">
        <f>IFERROR(IF(tblInputSheet[[#This Row],[Consumer]] = "-", "", VLOOKUP(tblInputSheet[[#This Row],[Consumer]], tblParticipants[], 2,FALSE)), "")</f>
        <v>PP004</v>
      </c>
      <c r="I4" s="7" t="str">
        <f>IFERROR(IF(tblInputSheet[[#This Row],[Integration Pattern]] = "-", "", VLOOKUP(tblInputSheet[[#This Row],[Integration Pattern]], tblIntegrationPartten[], 2,FALSE)), "")</f>
        <v>IP010</v>
      </c>
      <c r="J4" s="7" t="str">
        <f>tblDisplaySheet[[#This Row],[Current State]]</f>
        <v>Y</v>
      </c>
      <c r="K4" s="7" t="str">
        <f>tblDisplaySheet[[#This Row],[Confidence Factor]]</f>
        <v>Group</v>
      </c>
      <c r="L4" s="7">
        <f>tblDisplaySheet[[#This Row],[Count of Invocations]]</f>
        <v>1</v>
      </c>
      <c r="M4" s="7">
        <f>tblDisplaySheet[[#This Row],[DB Calls (ms)]]</f>
        <v>0</v>
      </c>
      <c r="N4" s="7">
        <f>tblDisplaySheet[[#This Row],[Logic (ms)]]</f>
        <v>0</v>
      </c>
      <c r="O4" s="7">
        <f>tblDisplaySheet[[#This Row],[Rules (ms)]]</f>
        <v>0</v>
      </c>
      <c r="P4" s="7">
        <f>tblDisplaySheet[[#This Row],[Latency (ms)]]</f>
        <v>0</v>
      </c>
      <c r="Q4" s="7">
        <f>tblDisplaySheet[[#This Row],[Latency (ms)]]</f>
        <v>0</v>
      </c>
      <c r="R4" s="7">
        <f>tblDisplaySheet[[#This Row],[Total Process Path Length]]</f>
        <v>4334</v>
      </c>
      <c r="S4" s="7">
        <f>tblDisplaySheet[[#This Row],[Total Process Time]]</f>
        <v>0</v>
      </c>
      <c r="T4" s="7">
        <f>tblDisplaySheet[[#This Row],[Total Process Path Length]]</f>
        <v>4334</v>
      </c>
      <c r="U4" s="7">
        <f>tblDisplaySheet[[#This Row],[Total Process Path Length NFR]]</f>
        <v>4743</v>
      </c>
      <c r="V4" s="7" t="str">
        <f>tblDisplaySheet[[#This Row],[Status]]</f>
        <v>On Target</v>
      </c>
      <c r="W4" s="7" t="str">
        <f>tblDisplaySheet[[#This Row],[Is Leaf?]]</f>
        <v>N</v>
      </c>
      <c r="X4" s="6" t="str">
        <f>tblDisplaySheet[[#This Row],[Owner]]</f>
        <v>Alak</v>
      </c>
    </row>
    <row r="5" spans="1:24" x14ac:dyDescent="0.25">
      <c r="A5" s="6">
        <f>tblDisplaySheet[[#This Row],[Link]]</f>
        <v>2</v>
      </c>
      <c r="B5" s="6">
        <f>tblDisplaySheet[[#This Row],[Level]]</f>
        <v>2</v>
      </c>
      <c r="C5" s="6">
        <f>tblDisplaySheet[[#This Row],[Sl.No]]</f>
        <v>3</v>
      </c>
      <c r="D5" s="6" t="str">
        <f>tblDisplaySheet[[#This Row],[Group]]</f>
        <v>Eligibility</v>
      </c>
      <c r="E5" s="6" t="str">
        <f>TEXT(tblInputSheet[[#This Row],[Sl.No]], "000")&amp; ":"&amp; tblInputSheet[[#This Row],[Process]]</f>
        <v>003:Eligibility</v>
      </c>
      <c r="F5" s="6" t="str">
        <f>IFERROR(IF(tblInputSheet[[#This Row],[Hosted Platform]] = "-", "", VLOOKUP(tblInputSheet[[#This Row],[Hosted Platform]], tblHosted_PlatformOwner[], 2,FALSE)), "")</f>
        <v>CC000</v>
      </c>
      <c r="G5" s="6" t="str">
        <f>IFERROR(IF(tblInputSheet[[#This Row],[Provider]] = "-", "", VLOOKUP(tblInputSheet[[#This Row],[Provider]], tblParticipants[], 2,FALSE)), "")</f>
        <v>PP000</v>
      </c>
      <c r="H5" s="7" t="str">
        <f>IFERROR(IF(tblInputSheet[[#This Row],[Consumer]] = "-", "", VLOOKUP(tblInputSheet[[#This Row],[Consumer]], tblParticipants[], 2,FALSE)), "")</f>
        <v>PP000</v>
      </c>
      <c r="I5" s="7" t="str">
        <f>IFERROR(IF(tblInputSheet[[#This Row],[Integration Pattern]] = "-", "", VLOOKUP(tblInputSheet[[#This Row],[Integration Pattern]], tblIntegrationPartten[], 2,FALSE)), "")</f>
        <v>IP003</v>
      </c>
      <c r="J5" s="7" t="str">
        <f>tblDisplaySheet[[#This Row],[Current State]]</f>
        <v>Y</v>
      </c>
      <c r="K5" s="7" t="str">
        <f>tblDisplaySheet[[#This Row],[Confidence Factor]]</f>
        <v>Group</v>
      </c>
      <c r="L5" s="7">
        <f>tblDisplaySheet[[#This Row],[Count of Invocations]]</f>
        <v>1</v>
      </c>
      <c r="M5" s="7">
        <f>tblDisplaySheet[[#This Row],[DB Calls (ms)]]</f>
        <v>0</v>
      </c>
      <c r="N5" s="7">
        <f>tblDisplaySheet[[#This Row],[Logic (ms)]]</f>
        <v>0</v>
      </c>
      <c r="O5" s="7">
        <f>tblDisplaySheet[[#This Row],[Rules (ms)]]</f>
        <v>0</v>
      </c>
      <c r="P5" s="7">
        <f>tblDisplaySheet[[#This Row],[Latency (ms)]]</f>
        <v>0</v>
      </c>
      <c r="Q5" s="7">
        <f>tblDisplaySheet[[#This Row],[Latency (ms)]]</f>
        <v>0</v>
      </c>
      <c r="R5" s="7">
        <f>tblDisplaySheet[[#This Row],[Total Process Path Length]]</f>
        <v>202</v>
      </c>
      <c r="S5" s="7">
        <f>tblDisplaySheet[[#This Row],[Total Process Time]]</f>
        <v>0</v>
      </c>
      <c r="T5" s="7">
        <f>tblDisplaySheet[[#This Row],[Total Process Path Length]]</f>
        <v>202</v>
      </c>
      <c r="U5" s="7">
        <f>tblDisplaySheet[[#This Row],[Total Process Path Length NFR]]</f>
        <v>260</v>
      </c>
      <c r="V5" s="7" t="str">
        <f>tblDisplaySheet[[#This Row],[Status]]</f>
        <v>On Target</v>
      </c>
      <c r="W5" s="7" t="str">
        <f>tblDisplaySheet[[#This Row],[Is Leaf?]]</f>
        <v>G</v>
      </c>
      <c r="X5" s="6" t="str">
        <f>tblDisplaySheet[[#This Row],[Owner]]</f>
        <v>Alak</v>
      </c>
    </row>
    <row r="6" spans="1:24" x14ac:dyDescent="0.25">
      <c r="A6" s="6">
        <f>tblDisplaySheet[[#This Row],[Link]]</f>
        <v>3</v>
      </c>
      <c r="B6" s="6">
        <f>tblDisplaySheet[[#This Row],[Level]]</f>
        <v>3</v>
      </c>
      <c r="C6" s="6">
        <f>tblDisplaySheet[[#This Row],[Sl.No]]</f>
        <v>4</v>
      </c>
      <c r="D6" s="6" t="str">
        <f>tblDisplaySheet[[#This Row],[Group]]</f>
        <v>Eligibility</v>
      </c>
      <c r="E6" s="6" t="str">
        <f>TEXT(tblInputSheet[[#This Row],[Sl.No]], "000")&amp; ":"&amp; tblInputSheet[[#This Row],[Process]]</f>
        <v>004:Eligibility Mainline</v>
      </c>
      <c r="F6" s="6" t="str">
        <f>IFERROR(IF(tblInputSheet[[#This Row],[Hosted Platform]] = "-", "", VLOOKUP(tblInputSheet[[#This Row],[Hosted Platform]], tblHosted_PlatformOwner[], 2,FALSE)), "")</f>
        <v>CC004</v>
      </c>
      <c r="G6" s="6" t="str">
        <f>IFERROR(IF(tblInputSheet[[#This Row],[Provider]] = "-", "", VLOOKUP(tblInputSheet[[#This Row],[Provider]], tblParticipants[], 2,FALSE)), "")</f>
        <v>PP004</v>
      </c>
      <c r="H6" s="6" t="str">
        <f>IFERROR(IF(tblInputSheet[[#This Row],[Consumer]] = "-", "", VLOOKUP(tblInputSheet[[#This Row],[Consumer]], tblParticipants[], 2,FALSE)), "")</f>
        <v>PP004</v>
      </c>
      <c r="I6" s="6" t="str">
        <f>IFERROR(IF(tblInputSheet[[#This Row],[Integration Pattern]] = "-", "", VLOOKUP(tblInputSheet[[#This Row],[Integration Pattern]], tblIntegrationPartten[], 2,FALSE)), "")</f>
        <v>IP010</v>
      </c>
      <c r="J6" s="6" t="str">
        <f>tblDisplaySheet[[#This Row],[Current State]]</f>
        <v>Y</v>
      </c>
      <c r="K6" s="6" t="str">
        <f>tblDisplaySheet[[#This Row],[Confidence Factor]]</f>
        <v>High</v>
      </c>
      <c r="L6" s="6">
        <f>tblDisplaySheet[[#This Row],[Count of Invocations]]</f>
        <v>1</v>
      </c>
      <c r="M6" s="6">
        <f>tblDisplaySheet[[#This Row],[DB Calls (ms)]]</f>
        <v>0</v>
      </c>
      <c r="N6" s="6">
        <f>tblDisplaySheet[[#This Row],[Logic (ms)]]</f>
        <v>10</v>
      </c>
      <c r="O6" s="6">
        <f>tblDisplaySheet[[#This Row],[Rules (ms)]]</f>
        <v>0</v>
      </c>
      <c r="P6" s="6">
        <f>tblDisplaySheet[[#This Row],[Latency (ms)]]</f>
        <v>0</v>
      </c>
      <c r="Q6" s="6">
        <f>tblDisplaySheet[[#This Row],[Latency (ms)]]</f>
        <v>0</v>
      </c>
      <c r="R6" s="6">
        <f>tblDisplaySheet[[#This Row],[Total Process Path Length]]</f>
        <v>202</v>
      </c>
      <c r="S6" s="6">
        <f>tblDisplaySheet[[#This Row],[Total Process Time]]</f>
        <v>10</v>
      </c>
      <c r="T6" s="6">
        <f>tblDisplaySheet[[#This Row],[Total Process Path Length]]</f>
        <v>202</v>
      </c>
      <c r="U6" s="6">
        <f>tblDisplaySheet[[#This Row],[Total Process Path Length NFR]]</f>
        <v>260</v>
      </c>
      <c r="V6" s="6" t="str">
        <f>tblDisplaySheet[[#This Row],[Status]]</f>
        <v>On Target</v>
      </c>
      <c r="W6" s="6" t="str">
        <f>tblDisplaySheet[[#This Row],[Is Leaf?]]</f>
        <v>N</v>
      </c>
      <c r="X6" s="6" t="str">
        <f>tblDisplaySheet[[#This Row],[Owner]]</f>
        <v>Alak</v>
      </c>
    </row>
    <row r="7" spans="1:24" x14ac:dyDescent="0.25">
      <c r="A7" s="6">
        <f>tblDisplaySheet[[#This Row],[Link]]</f>
        <v>4</v>
      </c>
      <c r="B7" s="6">
        <f>tblDisplaySheet[[#This Row],[Level]]</f>
        <v>4</v>
      </c>
      <c r="C7" s="6">
        <f>tblDisplaySheet[[#This Row],[Sl.No]]</f>
        <v>5</v>
      </c>
      <c r="D7" s="6" t="str">
        <f>tblDisplaySheet[[#This Row],[Group]]</f>
        <v>Eligibility</v>
      </c>
      <c r="E7" s="6" t="str">
        <f>TEXT(tblInputSheet[[#This Row],[Sl.No]], "000")&amp; ":"&amp; tblInputSheet[[#This Row],[Process]]</f>
        <v>005:Mule Eligibility Adapter</v>
      </c>
      <c r="F7" s="6" t="str">
        <f>IFERROR(IF(tblInputSheet[[#This Row],[Hosted Platform]] = "-", "", VLOOKUP(tblInputSheet[[#This Row],[Hosted Platform]], tblHosted_PlatformOwner[], 2,FALSE)), "")</f>
        <v>CC002</v>
      </c>
      <c r="G7" s="6" t="str">
        <f>IFERROR(IF(tblInputSheet[[#This Row],[Provider]] = "-", "", VLOOKUP(tblInputSheet[[#This Row],[Provider]], tblParticipants[], 2,FALSE)), "")</f>
        <v>PP001</v>
      </c>
      <c r="H7" s="6" t="str">
        <f>IFERROR(IF(tblInputSheet[[#This Row],[Consumer]] = "-", "", VLOOKUP(tblInputSheet[[#This Row],[Consumer]], tblParticipants[], 2,FALSE)), "")</f>
        <v>PP001</v>
      </c>
      <c r="I7" s="6" t="str">
        <f>IFERROR(IF(tblInputSheet[[#This Row],[Integration Pattern]] = "-", "", VLOOKUP(tblInputSheet[[#This Row],[Integration Pattern]], tblIntegrationPartten[], 2,FALSE)), "")</f>
        <v>IP003</v>
      </c>
      <c r="J7" s="6" t="str">
        <f>tblDisplaySheet[[#This Row],[Current State]]</f>
        <v>Y</v>
      </c>
      <c r="K7" s="6" t="str">
        <f>tblDisplaySheet[[#This Row],[Confidence Factor]]</f>
        <v>High</v>
      </c>
      <c r="L7" s="6">
        <f>tblDisplaySheet[[#This Row],[Count of Invocations]]</f>
        <v>1</v>
      </c>
      <c r="M7" s="6">
        <f>tblDisplaySheet[[#This Row],[DB Calls (ms)]]</f>
        <v>0</v>
      </c>
      <c r="N7" s="6">
        <f>tblDisplaySheet[[#This Row],[Logic (ms)]]</f>
        <v>16</v>
      </c>
      <c r="O7" s="6">
        <f>tblDisplaySheet[[#This Row],[Rules (ms)]]</f>
        <v>0</v>
      </c>
      <c r="P7" s="6">
        <f>tblDisplaySheet[[#This Row],[Latency (ms)]]</f>
        <v>15</v>
      </c>
      <c r="Q7" s="6">
        <f>tblDisplaySheet[[#This Row],[Latency (ms)]]</f>
        <v>15</v>
      </c>
      <c r="R7" s="6">
        <f>tblDisplaySheet[[#This Row],[Total Process Path Length]]</f>
        <v>192</v>
      </c>
      <c r="S7" s="6">
        <f>tblDisplaySheet[[#This Row],[Total Process Time]]</f>
        <v>31</v>
      </c>
      <c r="T7" s="6">
        <f>tblDisplaySheet[[#This Row],[Total Process Path Length]]</f>
        <v>192</v>
      </c>
      <c r="U7" s="6">
        <f>tblDisplaySheet[[#This Row],[Total Process Path Length NFR]]</f>
        <v>240</v>
      </c>
      <c r="V7" s="6" t="str">
        <f>tblDisplaySheet[[#This Row],[Status]]</f>
        <v>On Target</v>
      </c>
      <c r="W7" s="6" t="str">
        <f>tblDisplaySheet[[#This Row],[Is Leaf?]]</f>
        <v>N</v>
      </c>
      <c r="X7" s="6" t="str">
        <f>tblDisplaySheet[[#This Row],[Owner]]</f>
        <v>Alak</v>
      </c>
    </row>
    <row r="8" spans="1:24" x14ac:dyDescent="0.25">
      <c r="A8" s="6">
        <f>tblDisplaySheet[[#This Row],[Link]]</f>
        <v>5</v>
      </c>
      <c r="B8" s="6">
        <f>tblDisplaySheet[[#This Row],[Level]]</f>
        <v>5</v>
      </c>
      <c r="C8" s="6">
        <f>tblDisplaySheet[[#This Row],[Sl.No]]</f>
        <v>6</v>
      </c>
      <c r="D8" s="6" t="str">
        <f>tblDisplaySheet[[#This Row],[Group]]</f>
        <v>Eligibility</v>
      </c>
      <c r="E8" s="6" t="str">
        <f>TEXT(tblInputSheet[[#This Row],[Sl.No]], "000")&amp; ":"&amp; tblInputSheet[[#This Row],[Process]]</f>
        <v>006:Eligibility Orchestrator</v>
      </c>
      <c r="F8" s="6" t="str">
        <f>IFERROR(IF(tblInputSheet[[#This Row],[Hosted Platform]] = "-", "", VLOOKUP(tblInputSheet[[#This Row],[Hosted Platform]], tblHosted_PlatformOwner[], 2,FALSE)), "")</f>
        <v>CC001</v>
      </c>
      <c r="G8" s="6" t="str">
        <f>IFERROR(IF(tblInputSheet[[#This Row],[Provider]] = "-", "", VLOOKUP(tblInputSheet[[#This Row],[Provider]], tblParticipants[], 2,FALSE)), "")</f>
        <v>PP001</v>
      </c>
      <c r="H8" s="6" t="str">
        <f>IFERROR(IF(tblInputSheet[[#This Row],[Consumer]] = "-", "", VLOOKUP(tblInputSheet[[#This Row],[Consumer]], tblParticipants[], 2,FALSE)), "")</f>
        <v>PP001</v>
      </c>
      <c r="I8" s="6" t="str">
        <f>IFERROR(IF(tblInputSheet[[#This Row],[Integration Pattern]] = "-", "", VLOOKUP(tblInputSheet[[#This Row],[Integration Pattern]], tblIntegrationPartten[], 2,FALSE)), "")</f>
        <v>IP001</v>
      </c>
      <c r="J8" s="6" t="str">
        <f>tblDisplaySheet[[#This Row],[Current State]]</f>
        <v>Y</v>
      </c>
      <c r="K8" s="6" t="str">
        <f>tblDisplaySheet[[#This Row],[Confidence Factor]]</f>
        <v>High</v>
      </c>
      <c r="L8" s="6">
        <f>tblDisplaySheet[[#This Row],[Count of Invocations]]</f>
        <v>1</v>
      </c>
      <c r="M8" s="6">
        <f>tblDisplaySheet[[#This Row],[DB Calls (ms)]]</f>
        <v>0</v>
      </c>
      <c r="N8" s="6">
        <f>tblDisplaySheet[[#This Row],[Logic (ms)]]</f>
        <v>5</v>
      </c>
      <c r="O8" s="6">
        <f>tblDisplaySheet[[#This Row],[Rules (ms)]]</f>
        <v>0</v>
      </c>
      <c r="P8" s="6">
        <f>tblDisplaySheet[[#This Row],[Latency (ms)]]</f>
        <v>5</v>
      </c>
      <c r="Q8" s="6">
        <f>tblDisplaySheet[[#This Row],[Latency (ms)]]</f>
        <v>5</v>
      </c>
      <c r="R8" s="6">
        <f>tblDisplaySheet[[#This Row],[Total Process Path Length]]</f>
        <v>161</v>
      </c>
      <c r="S8" s="6">
        <f>tblDisplaySheet[[#This Row],[Total Process Time]]</f>
        <v>10</v>
      </c>
      <c r="T8" s="6">
        <f>tblDisplaySheet[[#This Row],[Total Process Path Length]]</f>
        <v>161</v>
      </c>
      <c r="U8" s="6">
        <f>tblDisplaySheet[[#This Row],[Total Process Path Length NFR]]</f>
        <v>200</v>
      </c>
      <c r="V8" s="6" t="str">
        <f>tblDisplaySheet[[#This Row],[Status]]</f>
        <v>On Target</v>
      </c>
      <c r="W8" s="6" t="str">
        <f>tblDisplaySheet[[#This Row],[Is Leaf?]]</f>
        <v>N</v>
      </c>
      <c r="X8" s="6" t="str">
        <f>tblDisplaySheet[[#This Row],[Owner]]</f>
        <v>Alak</v>
      </c>
    </row>
    <row r="9" spans="1:24" x14ac:dyDescent="0.25">
      <c r="A9" s="6">
        <f>tblDisplaySheet[[#This Row],[Link]]</f>
        <v>6</v>
      </c>
      <c r="B9" s="6">
        <f>tblDisplaySheet[[#This Row],[Level]]</f>
        <v>6</v>
      </c>
      <c r="C9" s="6">
        <f>tblDisplaySheet[[#This Row],[Sl.No]]</f>
        <v>7</v>
      </c>
      <c r="D9" s="6" t="str">
        <f>tblDisplaySheet[[#This Row],[Group]]</f>
        <v>Eligibility</v>
      </c>
      <c r="E9" s="6" t="str">
        <f>TEXT(tblInputSheet[[#This Row],[Sl.No]], "000")&amp; ":"&amp; tblInputSheet[[#This Row],[Process]]</f>
        <v>007:Member Match &amp; Eligibility Microservice</v>
      </c>
      <c r="F9" s="6" t="str">
        <f>IFERROR(IF(tblInputSheet[[#This Row],[Hosted Platform]] = "-", "", VLOOKUP(tblInputSheet[[#This Row],[Hosted Platform]], tblHosted_PlatformOwner[], 2,FALSE)), "")</f>
        <v>CC001</v>
      </c>
      <c r="G9" s="6" t="str">
        <f>IFERROR(IF(tblInputSheet[[#This Row],[Provider]] = "-", "", VLOOKUP(tblInputSheet[[#This Row],[Provider]], tblParticipants[], 2,FALSE)), "")</f>
        <v>PP001</v>
      </c>
      <c r="H9" s="6" t="str">
        <f>IFERROR(IF(tblInputSheet[[#This Row],[Consumer]] = "-", "", VLOOKUP(tblInputSheet[[#This Row],[Consumer]], tblParticipants[], 2,FALSE)), "")</f>
        <v>PP001</v>
      </c>
      <c r="I9" s="6" t="str">
        <f>IFERROR(IF(tblInputSheet[[#This Row],[Integration Pattern]] = "-", "", VLOOKUP(tblInputSheet[[#This Row],[Integration Pattern]], tblIntegrationPartten[], 2,FALSE)), "")</f>
        <v>IP001</v>
      </c>
      <c r="J9" s="6" t="str">
        <f>tblDisplaySheet[[#This Row],[Current State]]</f>
        <v>Y</v>
      </c>
      <c r="K9" s="6" t="str">
        <f>tblDisplaySheet[[#This Row],[Confidence Factor]]</f>
        <v>High</v>
      </c>
      <c r="L9" s="6">
        <f>tblDisplaySheet[[#This Row],[Count of Invocations]]</f>
        <v>1</v>
      </c>
      <c r="M9" s="6">
        <f>tblDisplaySheet[[#This Row],[DB Calls (ms)]]</f>
        <v>0</v>
      </c>
      <c r="N9" s="6">
        <f>tblDisplaySheet[[#This Row],[Logic (ms)]]</f>
        <v>20</v>
      </c>
      <c r="O9" s="6">
        <f>tblDisplaySheet[[#This Row],[Rules (ms)]]</f>
        <v>0</v>
      </c>
      <c r="P9" s="6">
        <f>tblDisplaySheet[[#This Row],[Latency (ms)]]</f>
        <v>5</v>
      </c>
      <c r="Q9" s="6">
        <f>tblDisplaySheet[[#This Row],[Latency (ms)]]</f>
        <v>5</v>
      </c>
      <c r="R9" s="6">
        <f>tblDisplaySheet[[#This Row],[Total Process Path Length]]</f>
        <v>94</v>
      </c>
      <c r="S9" s="6">
        <f>tblDisplaySheet[[#This Row],[Total Process Time]]</f>
        <v>25</v>
      </c>
      <c r="T9" s="6">
        <f>tblDisplaySheet[[#This Row],[Total Process Path Length]]</f>
        <v>94</v>
      </c>
      <c r="U9" s="6">
        <f>tblDisplaySheet[[#This Row],[Total Process Path Length NFR]]</f>
        <v>105</v>
      </c>
      <c r="V9" s="6" t="str">
        <f>tblDisplaySheet[[#This Row],[Status]]</f>
        <v>On Target</v>
      </c>
      <c r="W9" s="6" t="str">
        <f>tblDisplaySheet[[#This Row],[Is Leaf?]]</f>
        <v>N</v>
      </c>
      <c r="X9" s="6" t="str">
        <f>tblDisplaySheet[[#This Row],[Owner]]</f>
        <v>Alak</v>
      </c>
    </row>
    <row r="10" spans="1:24" x14ac:dyDescent="0.25">
      <c r="A10" s="6">
        <f>tblDisplaySheet[[#This Row],[Link]]</f>
        <v>7</v>
      </c>
      <c r="B10" s="6">
        <f>tblDisplaySheet[[#This Row],[Level]]</f>
        <v>7</v>
      </c>
      <c r="C10" s="6">
        <f>tblDisplaySheet[[#This Row],[Sl.No]]</f>
        <v>8</v>
      </c>
      <c r="D10" s="6" t="str">
        <f>tblDisplaySheet[[#This Row],[Group]]</f>
        <v>Eligibility</v>
      </c>
      <c r="E10" s="6" t="str">
        <f>TEXT(tblInputSheet[[#This Row],[Sl.No]], "000")&amp; ":"&amp; tblInputSheet[[#This Row],[Process]]</f>
        <v>008:Reference Lookup Microservice</v>
      </c>
      <c r="F10" s="6" t="str">
        <f>IFERROR(IF(tblInputSheet[[#This Row],[Hosted Platform]] = "-", "", VLOOKUP(tblInputSheet[[#This Row],[Hosted Platform]], tblHosted_PlatformOwner[], 2,FALSE)), "")</f>
        <v>CC001</v>
      </c>
      <c r="G10" s="6" t="str">
        <f>IFERROR(IF(tblInputSheet[[#This Row],[Provider]] = "-", "", VLOOKUP(tblInputSheet[[#This Row],[Provider]], tblParticipants[], 2,FALSE)), "")</f>
        <v>PP001</v>
      </c>
      <c r="H10" s="6" t="str">
        <f>IFERROR(IF(tblInputSheet[[#This Row],[Consumer]] = "-", "", VLOOKUP(tblInputSheet[[#This Row],[Consumer]], tblParticipants[], 2,FALSE)), "")</f>
        <v>PP001</v>
      </c>
      <c r="I10" s="6" t="str">
        <f>IFERROR(IF(tblInputSheet[[#This Row],[Integration Pattern]] = "-", "", VLOOKUP(tblInputSheet[[#This Row],[Integration Pattern]], tblIntegrationPartten[], 2,FALSE)), "")</f>
        <v>IP001</v>
      </c>
      <c r="J10" s="6" t="str">
        <f>tblDisplaySheet[[#This Row],[Current State]]</f>
        <v>Y</v>
      </c>
      <c r="K10" s="6" t="str">
        <f>tblDisplaySheet[[#This Row],[Confidence Factor]]</f>
        <v>Medium</v>
      </c>
      <c r="L10" s="6">
        <f>tblDisplaySheet[[#This Row],[Count of Invocations]]</f>
        <v>1</v>
      </c>
      <c r="M10" s="6">
        <f>tblDisplaySheet[[#This Row],[DB Calls (ms)]]</f>
        <v>0</v>
      </c>
      <c r="N10" s="6">
        <f>tblDisplaySheet[[#This Row],[Logic (ms)]]</f>
        <v>1</v>
      </c>
      <c r="O10" s="6">
        <f>tblDisplaySheet[[#This Row],[Rules (ms)]]</f>
        <v>0</v>
      </c>
      <c r="P10" s="6">
        <f>tblDisplaySheet[[#This Row],[Latency (ms)]]</f>
        <v>5</v>
      </c>
      <c r="Q10" s="6">
        <f>tblDisplaySheet[[#This Row],[Latency (ms)]]</f>
        <v>5</v>
      </c>
      <c r="R10" s="6">
        <f>tblDisplaySheet[[#This Row],[Total Process Path Length]]</f>
        <v>6</v>
      </c>
      <c r="S10" s="6">
        <f>tblDisplaySheet[[#This Row],[Total Process Time]]</f>
        <v>6</v>
      </c>
      <c r="T10" s="6">
        <f>tblDisplaySheet[[#This Row],[Total Process Path Length]]</f>
        <v>6</v>
      </c>
      <c r="U10" s="6">
        <f>tblDisplaySheet[[#This Row],[Total Process Path Length NFR]]</f>
        <v>10</v>
      </c>
      <c r="V10" s="6" t="str">
        <f>tblDisplaySheet[[#This Row],[Status]]</f>
        <v>On Target</v>
      </c>
      <c r="W10" s="6" t="str">
        <f>tblDisplaySheet[[#This Row],[Is Leaf?]]</f>
        <v>Y</v>
      </c>
      <c r="X10" s="6" t="str">
        <f>tblDisplaySheet[[#This Row],[Owner]]</f>
        <v>Alak</v>
      </c>
    </row>
    <row r="11" spans="1:24" x14ac:dyDescent="0.25">
      <c r="A11" s="6">
        <f>tblDisplaySheet[[#This Row],[Link]]</f>
        <v>7</v>
      </c>
      <c r="B11" s="6">
        <f>tblDisplaySheet[[#This Row],[Level]]</f>
        <v>7</v>
      </c>
      <c r="C11" s="6">
        <f>tblDisplaySheet[[#This Row],[Sl.No]]</f>
        <v>9</v>
      </c>
      <c r="D11" s="6" t="str">
        <f>tblDisplaySheet[[#This Row],[Group]]</f>
        <v>Eligibility</v>
      </c>
      <c r="E11" s="6" t="str">
        <f>TEXT(tblInputSheet[[#This Row],[Sl.No]], "000")&amp; ":"&amp; tblInputSheet[[#This Row],[Process]]</f>
        <v>009:Contract API</v>
      </c>
      <c r="F11" s="6" t="str">
        <f>IFERROR(IF(tblInputSheet[[#This Row],[Hosted Platform]] = "-", "", VLOOKUP(tblInputSheet[[#This Row],[Hosted Platform]], tblHosted_PlatformOwner[], 2,FALSE)), "")</f>
        <v>CC001</v>
      </c>
      <c r="G11" s="6" t="str">
        <f>IFERROR(IF(tblInputSheet[[#This Row],[Provider]] = "-", "", VLOOKUP(tblInputSheet[[#This Row],[Provider]], tblParticipants[], 2,FALSE)), "")</f>
        <v>PP001</v>
      </c>
      <c r="H11" s="6" t="str">
        <f>IFERROR(IF(tblInputSheet[[#This Row],[Consumer]] = "-", "", VLOOKUP(tblInputSheet[[#This Row],[Consumer]], tblParticipants[], 2,FALSE)), "")</f>
        <v>PP001</v>
      </c>
      <c r="I11" s="6" t="str">
        <f>IFERROR(IF(tblInputSheet[[#This Row],[Integration Pattern]] = "-", "", VLOOKUP(tblInputSheet[[#This Row],[Integration Pattern]], tblIntegrationPartten[], 2,FALSE)), "")</f>
        <v>IP001</v>
      </c>
      <c r="J11" s="6" t="str">
        <f>tblDisplaySheet[[#This Row],[Current State]]</f>
        <v>Y</v>
      </c>
      <c r="K11" s="6" t="str">
        <f>tblDisplaySheet[[#This Row],[Confidence Factor]]</f>
        <v>Medium</v>
      </c>
      <c r="L11" s="6">
        <f>tblDisplaySheet[[#This Row],[Count of Invocations]]</f>
        <v>1</v>
      </c>
      <c r="M11" s="6">
        <f>tblDisplaySheet[[#This Row],[DB Calls (ms)]]</f>
        <v>5</v>
      </c>
      <c r="N11" s="6">
        <f>tblDisplaySheet[[#This Row],[Logic (ms)]]</f>
        <v>30</v>
      </c>
      <c r="O11" s="6">
        <f>tblDisplaySheet[[#This Row],[Rules (ms)]]</f>
        <v>0</v>
      </c>
      <c r="P11" s="6">
        <f>tblDisplaySheet[[#This Row],[Latency (ms)]]</f>
        <v>10</v>
      </c>
      <c r="Q11" s="6">
        <f>tblDisplaySheet[[#This Row],[Latency (ms)]]</f>
        <v>10</v>
      </c>
      <c r="R11" s="6">
        <f>tblDisplaySheet[[#This Row],[Total Process Path Length]]</f>
        <v>45</v>
      </c>
      <c r="S11" s="6">
        <f>tblDisplaySheet[[#This Row],[Total Process Time]]</f>
        <v>45</v>
      </c>
      <c r="T11" s="6">
        <f>tblDisplaySheet[[#This Row],[Total Process Path Length]]</f>
        <v>45</v>
      </c>
      <c r="U11" s="6">
        <f>tblDisplaySheet[[#This Row],[Total Process Path Length NFR]]</f>
        <v>50</v>
      </c>
      <c r="V11" s="6" t="str">
        <f>tblDisplaySheet[[#This Row],[Status]]</f>
        <v>On Target</v>
      </c>
      <c r="W11" s="6" t="str">
        <f>tblDisplaySheet[[#This Row],[Is Leaf?]]</f>
        <v>Y</v>
      </c>
      <c r="X11" s="6" t="str">
        <f>tblDisplaySheet[[#This Row],[Owner]]</f>
        <v>Greg</v>
      </c>
    </row>
    <row r="12" spans="1:24" x14ac:dyDescent="0.25">
      <c r="A12" s="6">
        <f>tblDisplaySheet[[#This Row],[Link]]</f>
        <v>7</v>
      </c>
      <c r="B12" s="6">
        <f>tblDisplaySheet[[#This Row],[Level]]</f>
        <v>7</v>
      </c>
      <c r="C12" s="6">
        <f>tblDisplaySheet[[#This Row],[Sl.No]]</f>
        <v>10</v>
      </c>
      <c r="D12" s="6" t="str">
        <f>tblDisplaySheet[[#This Row],[Group]]</f>
        <v>Eligibility</v>
      </c>
      <c r="E12" s="6" t="str">
        <f>TEXT(tblInputSheet[[#This Row],[Sl.No]], "000")&amp; ":"&amp; tblInputSheet[[#This Row],[Process]]</f>
        <v>010:Claim Member Microservice</v>
      </c>
      <c r="F12" s="6" t="str">
        <f>IFERROR(IF(tblInputSheet[[#This Row],[Hosted Platform]] = "-", "", VLOOKUP(tblInputSheet[[#This Row],[Hosted Platform]], tblHosted_PlatformOwner[], 2,FALSE)), "")</f>
        <v>CC001</v>
      </c>
      <c r="G12" s="6" t="str">
        <f>IFERROR(IF(tblInputSheet[[#This Row],[Provider]] = "-", "", VLOOKUP(tblInputSheet[[#This Row],[Provider]], tblParticipants[], 2,FALSE)), "")</f>
        <v>PP001</v>
      </c>
      <c r="H12" s="6" t="str">
        <f>IFERROR(IF(tblInputSheet[[#This Row],[Consumer]] = "-", "", VLOOKUP(tblInputSheet[[#This Row],[Consumer]], tblParticipants[], 2,FALSE)), "")</f>
        <v>PP001</v>
      </c>
      <c r="I12" s="6" t="str">
        <f>IFERROR(IF(tblInputSheet[[#This Row],[Integration Pattern]] = "-", "", VLOOKUP(tblInputSheet[[#This Row],[Integration Pattern]], tblIntegrationPartten[], 2,FALSE)), "")</f>
        <v>IP001</v>
      </c>
      <c r="J12" s="6" t="str">
        <f>tblDisplaySheet[[#This Row],[Current State]]</f>
        <v>Y</v>
      </c>
      <c r="K12" s="6" t="str">
        <f>tblDisplaySheet[[#This Row],[Confidence Factor]]</f>
        <v>High</v>
      </c>
      <c r="L12" s="6">
        <f>tblDisplaySheet[[#This Row],[Count of Invocations]]</f>
        <v>1</v>
      </c>
      <c r="M12" s="6">
        <f>tblDisplaySheet[[#This Row],[DB Calls (ms)]]</f>
        <v>1</v>
      </c>
      <c r="N12" s="6">
        <f>tblDisplaySheet[[#This Row],[Logic (ms)]]</f>
        <v>12</v>
      </c>
      <c r="O12" s="6">
        <f>tblDisplaySheet[[#This Row],[Rules (ms)]]</f>
        <v>0</v>
      </c>
      <c r="P12" s="6">
        <f>tblDisplaySheet[[#This Row],[Latency (ms)]]</f>
        <v>5</v>
      </c>
      <c r="Q12" s="6">
        <f>tblDisplaySheet[[#This Row],[Latency (ms)]]</f>
        <v>5</v>
      </c>
      <c r="R12" s="6">
        <f>tblDisplaySheet[[#This Row],[Total Process Path Length]]</f>
        <v>18</v>
      </c>
      <c r="S12" s="6">
        <f>tblDisplaySheet[[#This Row],[Total Process Time]]</f>
        <v>18</v>
      </c>
      <c r="T12" s="6">
        <f>tblDisplaySheet[[#This Row],[Total Process Path Length]]</f>
        <v>18</v>
      </c>
      <c r="U12" s="6">
        <f>tblDisplaySheet[[#This Row],[Total Process Path Length NFR]]</f>
        <v>20</v>
      </c>
      <c r="V12" s="6" t="str">
        <f>tblDisplaySheet[[#This Row],[Status]]</f>
        <v>On Target</v>
      </c>
      <c r="W12" s="6" t="str">
        <f>tblDisplaySheet[[#This Row],[Is Leaf?]]</f>
        <v>Y</v>
      </c>
      <c r="X12" s="6" t="str">
        <f>tblDisplaySheet[[#This Row],[Owner]]</f>
        <v>Alak</v>
      </c>
    </row>
    <row r="13" spans="1:24" x14ac:dyDescent="0.25">
      <c r="A13" s="6">
        <f>tblDisplaySheet[[#This Row],[Link]]</f>
        <v>7</v>
      </c>
      <c r="B13" s="6">
        <f>tblDisplaySheet[[#This Row],[Level]]</f>
        <v>7</v>
      </c>
      <c r="C13" s="6">
        <f>tblDisplaySheet[[#This Row],[Sl.No]]</f>
        <v>11</v>
      </c>
      <c r="D13" s="6" t="str">
        <f>tblDisplaySheet[[#This Row],[Group]]</f>
        <v>Eligibility</v>
      </c>
      <c r="E13" s="6" t="str">
        <f>TEXT(tblInputSheet[[#This Row],[Sl.No]], "000")&amp; ":"&amp; tblInputSheet[[#This Row],[Process]]</f>
        <v xml:space="preserve">011:New Born Update </v>
      </c>
      <c r="F13" s="6" t="str">
        <f>IFERROR(IF(tblInputSheet[[#This Row],[Hosted Platform]] = "-", "", VLOOKUP(tblInputSheet[[#This Row],[Hosted Platform]], tblHosted_PlatformOwner[], 2,FALSE)), "")</f>
        <v>CC001</v>
      </c>
      <c r="G13" s="6" t="str">
        <f>IFERROR(IF(tblInputSheet[[#This Row],[Provider]] = "-", "", VLOOKUP(tblInputSheet[[#This Row],[Provider]], tblParticipants[], 2,FALSE)), "")</f>
        <v>PP001</v>
      </c>
      <c r="H13" s="6" t="str">
        <f>IFERROR(IF(tblInputSheet[[#This Row],[Consumer]] = "-", "", VLOOKUP(tblInputSheet[[#This Row],[Consumer]], tblParticipants[], 2,FALSE)), "")</f>
        <v>PP001</v>
      </c>
      <c r="I13" s="6" t="str">
        <f>IFERROR(IF(tblInputSheet[[#This Row],[Integration Pattern]] = "-", "", VLOOKUP(tblInputSheet[[#This Row],[Integration Pattern]], tblIntegrationPartten[], 2,FALSE)), "")</f>
        <v>IP002</v>
      </c>
      <c r="J13" s="6" t="str">
        <f>tblDisplaySheet[[#This Row],[Current State]]</f>
        <v>Y</v>
      </c>
      <c r="K13" s="6" t="str">
        <f>tblDisplaySheet[[#This Row],[Confidence Factor]]</f>
        <v>High</v>
      </c>
      <c r="L13" s="6">
        <f>tblDisplaySheet[[#This Row],[Count of Invocations]]</f>
        <v>0</v>
      </c>
      <c r="M13" s="6">
        <f>tblDisplaySheet[[#This Row],[DB Calls (ms)]]</f>
        <v>0</v>
      </c>
      <c r="N13" s="6">
        <f>tblDisplaySheet[[#This Row],[Logic (ms)]]</f>
        <v>24</v>
      </c>
      <c r="O13" s="6">
        <f>tblDisplaySheet[[#This Row],[Rules (ms)]]</f>
        <v>0</v>
      </c>
      <c r="P13" s="6">
        <f>tblDisplaySheet[[#This Row],[Latency (ms)]]</f>
        <v>5</v>
      </c>
      <c r="Q13" s="6">
        <f>tblDisplaySheet[[#This Row],[Latency (ms)]]</f>
        <v>5</v>
      </c>
      <c r="R13" s="6">
        <f>tblDisplaySheet[[#This Row],[Total Process Path Length]]</f>
        <v>0</v>
      </c>
      <c r="S13" s="6">
        <f>tblDisplaySheet[[#This Row],[Total Process Time]]</f>
        <v>0</v>
      </c>
      <c r="T13" s="6">
        <f>tblDisplaySheet[[#This Row],[Total Process Path Length]]</f>
        <v>0</v>
      </c>
      <c r="U13" s="6">
        <f>tblDisplaySheet[[#This Row],[Total Process Path Length NFR]]</f>
        <v>0</v>
      </c>
      <c r="V13" s="6" t="str">
        <f>tblDisplaySheet[[#This Row],[Status]]</f>
        <v>On Target</v>
      </c>
      <c r="W13" s="6" t="str">
        <f>tblDisplaySheet[[#This Row],[Is Leaf?]]</f>
        <v>Y</v>
      </c>
      <c r="X13" s="6" t="str">
        <f>tblDisplaySheet[[#This Row],[Owner]]</f>
        <v>Alak</v>
      </c>
    </row>
    <row r="14" spans="1:24" x14ac:dyDescent="0.25">
      <c r="A14" s="6">
        <f>tblDisplaySheet[[#This Row],[Link]]</f>
        <v>6</v>
      </c>
      <c r="B14" s="6">
        <f>tblDisplaySheet[[#This Row],[Level]]</f>
        <v>6</v>
      </c>
      <c r="C14" s="6">
        <f>tblDisplaySheet[[#This Row],[Sl.No]]</f>
        <v>12</v>
      </c>
      <c r="D14" s="6" t="str">
        <f>tblDisplaySheet[[#This Row],[Group]]</f>
        <v>Eligibility</v>
      </c>
      <c r="E14" s="6" t="str">
        <f>TEXT(tblInputSheet[[#This Row],[Sl.No]], "000")&amp; ":"&amp; tblInputSheet[[#This Row],[Process]]</f>
        <v>012:Provider Match &amp; Eligibility Microservice</v>
      </c>
      <c r="F14" s="6" t="str">
        <f>IFERROR(IF(tblInputSheet[[#This Row],[Hosted Platform]] = "-", "", VLOOKUP(tblInputSheet[[#This Row],[Hosted Platform]], tblHosted_PlatformOwner[], 2,FALSE)), "")</f>
        <v>CC001</v>
      </c>
      <c r="G14" s="6" t="str">
        <f>IFERROR(IF(tblInputSheet[[#This Row],[Provider]] = "-", "", VLOOKUP(tblInputSheet[[#This Row],[Provider]], tblParticipants[], 2,FALSE)), "")</f>
        <v>PP001</v>
      </c>
      <c r="H14" s="6" t="str">
        <f>IFERROR(IF(tblInputSheet[[#This Row],[Consumer]] = "-", "", VLOOKUP(tblInputSheet[[#This Row],[Consumer]], tblParticipants[], 2,FALSE)), "")</f>
        <v>PP001</v>
      </c>
      <c r="I14" s="6" t="str">
        <f>IFERROR(IF(tblInputSheet[[#This Row],[Integration Pattern]] = "-", "", VLOOKUP(tblInputSheet[[#This Row],[Integration Pattern]], tblIntegrationPartten[], 2,FALSE)), "")</f>
        <v>IP001</v>
      </c>
      <c r="J14" s="6" t="str">
        <f>tblDisplaySheet[[#This Row],[Current State]]</f>
        <v>Y</v>
      </c>
      <c r="K14" s="6" t="str">
        <f>tblDisplaySheet[[#This Row],[Confidence Factor]]</f>
        <v>High</v>
      </c>
      <c r="L14" s="6">
        <f>tblDisplaySheet[[#This Row],[Count of Invocations]]</f>
        <v>1</v>
      </c>
      <c r="M14" s="6">
        <f>tblDisplaySheet[[#This Row],[DB Calls (ms)]]</f>
        <v>0</v>
      </c>
      <c r="N14" s="6">
        <f>tblDisplaySheet[[#This Row],[Logic (ms)]]</f>
        <v>5</v>
      </c>
      <c r="O14" s="6">
        <f>tblDisplaySheet[[#This Row],[Rules (ms)]]</f>
        <v>0</v>
      </c>
      <c r="P14" s="6">
        <f>tblDisplaySheet[[#This Row],[Latency (ms)]]</f>
        <v>5</v>
      </c>
      <c r="Q14" s="6">
        <f>tblDisplaySheet[[#This Row],[Latency (ms)]]</f>
        <v>5</v>
      </c>
      <c r="R14" s="6">
        <f>tblDisplaySheet[[#This Row],[Total Process Path Length]]</f>
        <v>27</v>
      </c>
      <c r="S14" s="6">
        <f>tblDisplaySheet[[#This Row],[Total Process Time]]</f>
        <v>10</v>
      </c>
      <c r="T14" s="6">
        <f>tblDisplaySheet[[#This Row],[Total Process Path Length]]</f>
        <v>27</v>
      </c>
      <c r="U14" s="6">
        <f>tblDisplaySheet[[#This Row],[Total Process Path Length NFR]]</f>
        <v>40</v>
      </c>
      <c r="V14" s="6" t="str">
        <f>tblDisplaySheet[[#This Row],[Status]]</f>
        <v>On Target</v>
      </c>
      <c r="W14" s="6" t="str">
        <f>tblDisplaySheet[[#This Row],[Is Leaf?]]</f>
        <v>N</v>
      </c>
      <c r="X14" s="6" t="str">
        <f>tblDisplaySheet[[#This Row],[Owner]]</f>
        <v>Alak</v>
      </c>
    </row>
    <row r="15" spans="1:24" x14ac:dyDescent="0.25">
      <c r="A15" s="6">
        <f>tblDisplaySheet[[#This Row],[Link]]</f>
        <v>12</v>
      </c>
      <c r="B15" s="6">
        <f>tblDisplaySheet[[#This Row],[Level]]</f>
        <v>7</v>
      </c>
      <c r="C15" s="6">
        <f>tblDisplaySheet[[#This Row],[Sl.No]]</f>
        <v>13</v>
      </c>
      <c r="D15" s="6" t="str">
        <f>tblDisplaySheet[[#This Row],[Group]]</f>
        <v>Eligibility</v>
      </c>
      <c r="E15" s="6" t="str">
        <f>TEXT(tblInputSheet[[#This Row],[Sl.No]], "000")&amp; ":"&amp; tblInputSheet[[#This Row],[Process]]</f>
        <v>013:Claim Provider Microservice</v>
      </c>
      <c r="F15" s="6" t="str">
        <f>IFERROR(IF(tblInputSheet[[#This Row],[Hosted Platform]] = "-", "", VLOOKUP(tblInputSheet[[#This Row],[Hosted Platform]], tblHosted_PlatformOwner[], 2,FALSE)), "")</f>
        <v>CC001</v>
      </c>
      <c r="G15" s="6" t="str">
        <f>IFERROR(IF(tblInputSheet[[#This Row],[Provider]] = "-", "", VLOOKUP(tblInputSheet[[#This Row],[Provider]], tblParticipants[], 2,FALSE)), "")</f>
        <v>PP001</v>
      </c>
      <c r="H15" s="6" t="str">
        <f>IFERROR(IF(tblInputSheet[[#This Row],[Consumer]] = "-", "", VLOOKUP(tblInputSheet[[#This Row],[Consumer]], tblParticipants[], 2,FALSE)), "")</f>
        <v>PP001</v>
      </c>
      <c r="I15" s="6" t="str">
        <f>IFERROR(IF(tblInputSheet[[#This Row],[Integration Pattern]] = "-", "", VLOOKUP(tblInputSheet[[#This Row],[Integration Pattern]], tblIntegrationPartten[], 2,FALSE)), "")</f>
        <v>IP001</v>
      </c>
      <c r="J15" s="6" t="str">
        <f>tblDisplaySheet[[#This Row],[Current State]]</f>
        <v>Y</v>
      </c>
      <c r="K15" s="6" t="str">
        <f>tblDisplaySheet[[#This Row],[Confidence Factor]]</f>
        <v>High</v>
      </c>
      <c r="L15" s="6">
        <f>tblDisplaySheet[[#This Row],[Count of Invocations]]</f>
        <v>1</v>
      </c>
      <c r="M15" s="6">
        <f>tblDisplaySheet[[#This Row],[DB Calls (ms)]]</f>
        <v>1</v>
      </c>
      <c r="N15" s="6">
        <f>tblDisplaySheet[[#This Row],[Logic (ms)]]</f>
        <v>4</v>
      </c>
      <c r="O15" s="6">
        <f>tblDisplaySheet[[#This Row],[Rules (ms)]]</f>
        <v>0</v>
      </c>
      <c r="P15" s="6">
        <f>tblDisplaySheet[[#This Row],[Latency (ms)]]</f>
        <v>5</v>
      </c>
      <c r="Q15" s="6">
        <f>tblDisplaySheet[[#This Row],[Latency (ms)]]</f>
        <v>5</v>
      </c>
      <c r="R15" s="6">
        <f>tblDisplaySheet[[#This Row],[Total Process Path Length]]</f>
        <v>10</v>
      </c>
      <c r="S15" s="6">
        <f>tblDisplaySheet[[#This Row],[Total Process Time]]</f>
        <v>10</v>
      </c>
      <c r="T15" s="6">
        <f>tblDisplaySheet[[#This Row],[Total Process Path Length]]</f>
        <v>10</v>
      </c>
      <c r="U15" s="6">
        <f>tblDisplaySheet[[#This Row],[Total Process Path Length NFR]]</f>
        <v>15</v>
      </c>
      <c r="V15" s="6" t="str">
        <f>tblDisplaySheet[[#This Row],[Status]]</f>
        <v>On Target</v>
      </c>
      <c r="W15" s="6" t="str">
        <f>tblDisplaySheet[[#This Row],[Is Leaf?]]</f>
        <v>Y</v>
      </c>
      <c r="X15" s="6" t="str">
        <f>tblDisplaySheet[[#This Row],[Owner]]</f>
        <v>Alak</v>
      </c>
    </row>
    <row r="16" spans="1:24" x14ac:dyDescent="0.25">
      <c r="A16" s="6">
        <f>tblDisplaySheet[[#This Row],[Link]]</f>
        <v>12</v>
      </c>
      <c r="B16" s="6">
        <f>tblDisplaySheet[[#This Row],[Level]]</f>
        <v>7</v>
      </c>
      <c r="C16" s="6">
        <f>tblDisplaySheet[[#This Row],[Sl.No]]</f>
        <v>14</v>
      </c>
      <c r="D16" s="6" t="str">
        <f>tblDisplaySheet[[#This Row],[Group]]</f>
        <v>Eligibility</v>
      </c>
      <c r="E16" s="6" t="str">
        <f>TEXT(tblInputSheet[[#This Row],[Sl.No]], "000")&amp; ":"&amp; tblInputSheet[[#This Row],[Process]]</f>
        <v>014:Reference Lookup Microservice</v>
      </c>
      <c r="F16" s="6" t="str">
        <f>IFERROR(IF(tblInputSheet[[#This Row],[Hosted Platform]] = "-", "", VLOOKUP(tblInputSheet[[#This Row],[Hosted Platform]], tblHosted_PlatformOwner[], 2,FALSE)), "")</f>
        <v>CC001</v>
      </c>
      <c r="G16" s="6" t="str">
        <f>IFERROR(IF(tblInputSheet[[#This Row],[Provider]] = "-", "", VLOOKUP(tblInputSheet[[#This Row],[Provider]], tblParticipants[], 2,FALSE)), "")</f>
        <v>PP001</v>
      </c>
      <c r="H16" s="6" t="str">
        <f>IFERROR(IF(tblInputSheet[[#This Row],[Consumer]] = "-", "", VLOOKUP(tblInputSheet[[#This Row],[Consumer]], tblParticipants[], 2,FALSE)), "")</f>
        <v>PP001</v>
      </c>
      <c r="I16" s="6" t="str">
        <f>IFERROR(IF(tblInputSheet[[#This Row],[Integration Pattern]] = "-", "", VLOOKUP(tblInputSheet[[#This Row],[Integration Pattern]], tblIntegrationPartten[], 2,FALSE)), "")</f>
        <v>IP001</v>
      </c>
      <c r="J16" s="6" t="str">
        <f>tblDisplaySheet[[#This Row],[Current State]]</f>
        <v>Y</v>
      </c>
      <c r="K16" s="6" t="str">
        <f>tblDisplaySheet[[#This Row],[Confidence Factor]]</f>
        <v>High</v>
      </c>
      <c r="L16" s="6">
        <f>tblDisplaySheet[[#This Row],[Count of Invocations]]</f>
        <v>1</v>
      </c>
      <c r="M16" s="6">
        <f>tblDisplaySheet[[#This Row],[DB Calls (ms)]]</f>
        <v>1</v>
      </c>
      <c r="N16" s="6">
        <f>tblDisplaySheet[[#This Row],[Logic (ms)]]</f>
        <v>1</v>
      </c>
      <c r="O16" s="6">
        <f>tblDisplaySheet[[#This Row],[Rules (ms)]]</f>
        <v>0</v>
      </c>
      <c r="P16" s="6">
        <f>tblDisplaySheet[[#This Row],[Latency (ms)]]</f>
        <v>5</v>
      </c>
      <c r="Q16" s="6">
        <f>tblDisplaySheet[[#This Row],[Latency (ms)]]</f>
        <v>5</v>
      </c>
      <c r="R16" s="6">
        <f>tblDisplaySheet[[#This Row],[Total Process Path Length]]</f>
        <v>7</v>
      </c>
      <c r="S16" s="6">
        <f>tblDisplaySheet[[#This Row],[Total Process Time]]</f>
        <v>7</v>
      </c>
      <c r="T16" s="6">
        <f>tblDisplaySheet[[#This Row],[Total Process Path Length]]</f>
        <v>7</v>
      </c>
      <c r="U16" s="6">
        <f>tblDisplaySheet[[#This Row],[Total Process Path Length NFR]]</f>
        <v>10</v>
      </c>
      <c r="V16" s="6" t="str">
        <f>tblDisplaySheet[[#This Row],[Status]]</f>
        <v>On Target</v>
      </c>
      <c r="W16" s="6" t="str">
        <f>tblDisplaySheet[[#This Row],[Is Leaf?]]</f>
        <v>Y</v>
      </c>
      <c r="X16" s="6" t="str">
        <f>tblDisplaySheet[[#This Row],[Owner]]</f>
        <v>Alak</v>
      </c>
    </row>
    <row r="17" spans="1:24" x14ac:dyDescent="0.25">
      <c r="A17" s="6">
        <f>tblDisplaySheet[[#This Row],[Link]]</f>
        <v>6</v>
      </c>
      <c r="B17" s="6">
        <f>tblDisplaySheet[[#This Row],[Level]]</f>
        <v>6</v>
      </c>
      <c r="C17" s="6">
        <f>tblDisplaySheet[[#This Row],[Sl.No]]</f>
        <v>15</v>
      </c>
      <c r="D17" s="6" t="str">
        <f>tblDisplaySheet[[#This Row],[Group]]</f>
        <v>Eligibility</v>
      </c>
      <c r="E17" s="6" t="str">
        <f>TEXT(tblInputSheet[[#This Row],[Sl.No]], "000")&amp; ":"&amp; tblInputSheet[[#This Row],[Process]]</f>
        <v>015:Eligibility Lock Microservice</v>
      </c>
      <c r="F17" s="6" t="str">
        <f>IFERROR(IF(tblInputSheet[[#This Row],[Hosted Platform]] = "-", "", VLOOKUP(tblInputSheet[[#This Row],[Hosted Platform]], tblHosted_PlatformOwner[], 2,FALSE)), "")</f>
        <v>CC001</v>
      </c>
      <c r="G17" s="6" t="str">
        <f>IFERROR(IF(tblInputSheet[[#This Row],[Provider]] = "-", "", VLOOKUP(tblInputSheet[[#This Row],[Provider]], tblParticipants[], 2,FALSE)), "")</f>
        <v>PP001</v>
      </c>
      <c r="H17" s="6" t="str">
        <f>IFERROR(IF(tblInputSheet[[#This Row],[Consumer]] = "-", "", VLOOKUP(tblInputSheet[[#This Row],[Consumer]], tblParticipants[], 2,FALSE)), "")</f>
        <v>PP001</v>
      </c>
      <c r="I17" s="6" t="str">
        <f>IFERROR(IF(tblInputSheet[[#This Row],[Integration Pattern]] = "-", "", VLOOKUP(tblInputSheet[[#This Row],[Integration Pattern]], tblIntegrationPartten[], 2,FALSE)), "")</f>
        <v>IP001</v>
      </c>
      <c r="J17" s="6" t="str">
        <f>tblDisplaySheet[[#This Row],[Current State]]</f>
        <v>Y</v>
      </c>
      <c r="K17" s="6" t="str">
        <f>tblDisplaySheet[[#This Row],[Confidence Factor]]</f>
        <v>High</v>
      </c>
      <c r="L17" s="6">
        <f>tblDisplaySheet[[#This Row],[Count of Invocations]]</f>
        <v>1</v>
      </c>
      <c r="M17" s="6">
        <f>tblDisplaySheet[[#This Row],[DB Calls (ms)]]</f>
        <v>1</v>
      </c>
      <c r="N17" s="6">
        <f>tblDisplaySheet[[#This Row],[Logic (ms)]]</f>
        <v>24</v>
      </c>
      <c r="O17" s="6">
        <f>tblDisplaySheet[[#This Row],[Rules (ms)]]</f>
        <v>0</v>
      </c>
      <c r="P17" s="6">
        <f>tblDisplaySheet[[#This Row],[Latency (ms)]]</f>
        <v>5</v>
      </c>
      <c r="Q17" s="6">
        <f>tblDisplaySheet[[#This Row],[Latency (ms)]]</f>
        <v>5</v>
      </c>
      <c r="R17" s="6">
        <f>tblDisplaySheet[[#This Row],[Total Process Path Length]]</f>
        <v>30</v>
      </c>
      <c r="S17" s="6">
        <f>tblDisplaySheet[[#This Row],[Total Process Time]]</f>
        <v>30</v>
      </c>
      <c r="T17" s="6">
        <f>tblDisplaySheet[[#This Row],[Total Process Path Length]]</f>
        <v>30</v>
      </c>
      <c r="U17" s="6">
        <f>tblDisplaySheet[[#This Row],[Total Process Path Length NFR]]</f>
        <v>35</v>
      </c>
      <c r="V17" s="6" t="str">
        <f>tblDisplaySheet[[#This Row],[Status]]</f>
        <v>On Target</v>
      </c>
      <c r="W17" s="6" t="str">
        <f>tblDisplaySheet[[#This Row],[Is Leaf?]]</f>
        <v>Y</v>
      </c>
      <c r="X17" s="6" t="str">
        <f>tblDisplaySheet[[#This Row],[Owner]]</f>
        <v>Alak</v>
      </c>
    </row>
    <row r="18" spans="1:24" x14ac:dyDescent="0.25">
      <c r="A18" s="6">
        <f>tblDisplaySheet[[#This Row],[Link]]</f>
        <v>2</v>
      </c>
      <c r="B18" s="6">
        <f>tblDisplaySheet[[#This Row],[Level]]</f>
        <v>2</v>
      </c>
      <c r="C18" s="6">
        <f>tblDisplaySheet[[#This Row],[Sl.No]]</f>
        <v>16</v>
      </c>
      <c r="D18" s="6" t="str">
        <f>tblDisplaySheet[[#This Row],[Group]]</f>
        <v>Claim Level</v>
      </c>
      <c r="E18" s="6" t="str">
        <f>TEXT(tblInputSheet[[#This Row],[Sl.No]], "000")&amp; ":"&amp; tblInputSheet[[#This Row],[Process]]</f>
        <v>016:Claim Level</v>
      </c>
      <c r="F18" s="6" t="str">
        <f>IFERROR(IF(tblInputSheet[[#This Row],[Hosted Platform]] = "-", "", VLOOKUP(tblInputSheet[[#This Row],[Hosted Platform]], tblHosted_PlatformOwner[], 2,FALSE)), "")</f>
        <v>CC000</v>
      </c>
      <c r="G18" s="6" t="str">
        <f>IFERROR(IF(tblInputSheet[[#This Row],[Provider]] = "-", "", VLOOKUP(tblInputSheet[[#This Row],[Provider]], tblParticipants[], 2,FALSE)), "")</f>
        <v>PP000</v>
      </c>
      <c r="H18" s="6" t="str">
        <f>IFERROR(IF(tblInputSheet[[#This Row],[Consumer]] = "-", "", VLOOKUP(tblInputSheet[[#This Row],[Consumer]], tblParticipants[], 2,FALSE)), "")</f>
        <v>PP000</v>
      </c>
      <c r="I18" s="6" t="str">
        <f>IFERROR(IF(tblInputSheet[[#This Row],[Integration Pattern]] = "-", "", VLOOKUP(tblInputSheet[[#This Row],[Integration Pattern]], tblIntegrationPartten[], 2,FALSE)), "")</f>
        <v>IP000</v>
      </c>
      <c r="J18" s="6" t="str">
        <f>tblDisplaySheet[[#This Row],[Current State]]</f>
        <v>Y</v>
      </c>
      <c r="K18" s="6" t="str">
        <f>tblDisplaySheet[[#This Row],[Confidence Factor]]</f>
        <v>Group</v>
      </c>
      <c r="L18" s="6">
        <f>tblDisplaySheet[[#This Row],[Count of Invocations]]</f>
        <v>0</v>
      </c>
      <c r="M18" s="6">
        <f>tblDisplaySheet[[#This Row],[DB Calls (ms)]]</f>
        <v>0</v>
      </c>
      <c r="N18" s="6">
        <f>tblDisplaySheet[[#This Row],[Logic (ms)]]</f>
        <v>0</v>
      </c>
      <c r="O18" s="6">
        <f>tblDisplaySheet[[#This Row],[Rules (ms)]]</f>
        <v>0</v>
      </c>
      <c r="P18" s="6">
        <f>tblDisplaySheet[[#This Row],[Latency (ms)]]</f>
        <v>0</v>
      </c>
      <c r="Q18" s="6">
        <f>tblDisplaySheet[[#This Row],[Latency (ms)]]</f>
        <v>0</v>
      </c>
      <c r="R18" s="6">
        <f>tblDisplaySheet[[#This Row],[Total Process Path Length]]</f>
        <v>42</v>
      </c>
      <c r="S18" s="6">
        <f>tblDisplaySheet[[#This Row],[Total Process Time]]</f>
        <v>0</v>
      </c>
      <c r="T18" s="6">
        <f>tblDisplaySheet[[#This Row],[Total Process Path Length]]</f>
        <v>42</v>
      </c>
      <c r="U18" s="6">
        <f>tblDisplaySheet[[#This Row],[Total Process Path Length NFR]]</f>
        <v>45</v>
      </c>
      <c r="V18" s="6" t="str">
        <f>tblDisplaySheet[[#This Row],[Status]]</f>
        <v>On Target</v>
      </c>
      <c r="W18" s="6" t="str">
        <f>tblDisplaySheet[[#This Row],[Is Leaf?]]</f>
        <v>G</v>
      </c>
      <c r="X18" s="6" t="str">
        <f>tblDisplaySheet[[#This Row],[Owner]]</f>
        <v>Alak</v>
      </c>
    </row>
    <row r="19" spans="1:24" x14ac:dyDescent="0.25">
      <c r="A19" s="6">
        <f>tblDisplaySheet[[#This Row],[Link]]</f>
        <v>16</v>
      </c>
      <c r="B19" s="6">
        <f>tblDisplaySheet[[#This Row],[Level]]</f>
        <v>3</v>
      </c>
      <c r="C19" s="6">
        <f>tblDisplaySheet[[#This Row],[Sl.No]]</f>
        <v>17</v>
      </c>
      <c r="D19" s="6" t="str">
        <f>tblDisplaySheet[[#This Row],[Group]]</f>
        <v>Claim Mainline</v>
      </c>
      <c r="E19" s="6" t="str">
        <f>TEXT(tblInputSheet[[#This Row],[Sl.No]], "000")&amp; ":"&amp; tblInputSheet[[#This Row],[Process]]</f>
        <v>017:Claim Mainline</v>
      </c>
      <c r="F19" s="6" t="str">
        <f>IFERROR(IF(tblInputSheet[[#This Row],[Hosted Platform]] = "-", "", VLOOKUP(tblInputSheet[[#This Row],[Hosted Platform]], tblHosted_PlatformOwner[], 2,FALSE)), "")</f>
        <v>CC004</v>
      </c>
      <c r="G19" s="6" t="str">
        <f>IFERROR(IF(tblInputSheet[[#This Row],[Provider]] = "-", "", VLOOKUP(tblInputSheet[[#This Row],[Provider]], tblParticipants[], 2,FALSE)), "")</f>
        <v>PP004</v>
      </c>
      <c r="H19" s="6" t="str">
        <f>IFERROR(IF(tblInputSheet[[#This Row],[Consumer]] = "-", "", VLOOKUP(tblInputSheet[[#This Row],[Consumer]], tblParticipants[], 2,FALSE)), "")</f>
        <v>PP004</v>
      </c>
      <c r="I19" s="6" t="str">
        <f>IFERROR(IF(tblInputSheet[[#This Row],[Integration Pattern]] = "-", "", VLOOKUP(tblInputSheet[[#This Row],[Integration Pattern]], tblIntegrationPartten[], 2,FALSE)), "")</f>
        <v>IP010</v>
      </c>
      <c r="J19" s="6" t="str">
        <f>tblDisplaySheet[[#This Row],[Current State]]</f>
        <v>Y</v>
      </c>
      <c r="K19" s="6" t="str">
        <f>tblDisplaySheet[[#This Row],[Confidence Factor]]</f>
        <v>Medium</v>
      </c>
      <c r="L19" s="6">
        <f>tblDisplaySheet[[#This Row],[Count of Invocations]]</f>
        <v>1</v>
      </c>
      <c r="M19" s="6">
        <f>tblDisplaySheet[[#This Row],[DB Calls (ms)]]</f>
        <v>0</v>
      </c>
      <c r="N19" s="6">
        <f>tblDisplaySheet[[#This Row],[Logic (ms)]]</f>
        <v>42</v>
      </c>
      <c r="O19" s="6">
        <f>tblDisplaySheet[[#This Row],[Rules (ms)]]</f>
        <v>0</v>
      </c>
      <c r="P19" s="6">
        <f>tblDisplaySheet[[#This Row],[Latency (ms)]]</f>
        <v>0</v>
      </c>
      <c r="Q19" s="6">
        <f>tblDisplaySheet[[#This Row],[Latency (ms)]]</f>
        <v>0</v>
      </c>
      <c r="R19" s="6">
        <f>tblDisplaySheet[[#This Row],[Total Process Path Length]]</f>
        <v>42</v>
      </c>
      <c r="S19" s="6">
        <f>tblDisplaySheet[[#This Row],[Total Process Time]]</f>
        <v>42</v>
      </c>
      <c r="T19" s="6">
        <f>tblDisplaySheet[[#This Row],[Total Process Path Length]]</f>
        <v>42</v>
      </c>
      <c r="U19" s="6">
        <f>tblDisplaySheet[[#This Row],[Total Process Path Length NFR]]</f>
        <v>45</v>
      </c>
      <c r="V19" s="6" t="str">
        <f>tblDisplaySheet[[#This Row],[Status]]</f>
        <v>On Target</v>
      </c>
      <c r="W19" s="6" t="str">
        <f>tblDisplaySheet[[#This Row],[Is Leaf?]]</f>
        <v>Y</v>
      </c>
      <c r="X19" s="6" t="str">
        <f>tblDisplaySheet[[#This Row],[Owner]]</f>
        <v>Alak</v>
      </c>
    </row>
    <row r="20" spans="1:24" x14ac:dyDescent="0.25">
      <c r="A20" s="6">
        <f>tblDisplaySheet[[#This Row],[Link]]</f>
        <v>2</v>
      </c>
      <c r="B20" s="6">
        <f>tblDisplaySheet[[#This Row],[Level]]</f>
        <v>2</v>
      </c>
      <c r="C20" s="6">
        <f>tblDisplaySheet[[#This Row],[Sl.No]]</f>
        <v>18</v>
      </c>
      <c r="D20" s="6" t="str">
        <f>tblDisplaySheet[[#This Row],[Group]]</f>
        <v>Service Level</v>
      </c>
      <c r="E20" s="6" t="str">
        <f>TEXT(tblInputSheet[[#This Row],[Sl.No]], "000")&amp; ":"&amp; tblInputSheet[[#This Row],[Process]]</f>
        <v>018:Service Level</v>
      </c>
      <c r="F20" s="6" t="str">
        <f>IFERROR(IF(tblInputSheet[[#This Row],[Hosted Platform]] = "-", "", VLOOKUP(tblInputSheet[[#This Row],[Hosted Platform]], tblHosted_PlatformOwner[], 2,FALSE)), "")</f>
        <v>CC000</v>
      </c>
      <c r="G20" s="6" t="str">
        <f>IFERROR(IF(tblInputSheet[[#This Row],[Provider]] = "-", "", VLOOKUP(tblInputSheet[[#This Row],[Provider]], tblParticipants[], 2,FALSE)), "")</f>
        <v>PP000</v>
      </c>
      <c r="H20" s="6" t="str">
        <f>IFERROR(IF(tblInputSheet[[#This Row],[Consumer]] = "-", "", VLOOKUP(tblInputSheet[[#This Row],[Consumer]], tblParticipants[], 2,FALSE)), "")</f>
        <v>PP000</v>
      </c>
      <c r="I20" s="6" t="str">
        <f>IFERROR(IF(tblInputSheet[[#This Row],[Integration Pattern]] = "-", "", VLOOKUP(tblInputSheet[[#This Row],[Integration Pattern]], tblIntegrationPartten[], 2,FALSE)), "")</f>
        <v>IP000</v>
      </c>
      <c r="J20" s="6" t="str">
        <f>tblDisplaySheet[[#This Row],[Current State]]</f>
        <v>Y</v>
      </c>
      <c r="K20" s="6" t="str">
        <f>tblDisplaySheet[[#This Row],[Confidence Factor]]</f>
        <v>Group</v>
      </c>
      <c r="L20" s="6">
        <f>tblDisplaySheet[[#This Row],[Count of Invocations]]</f>
        <v>0</v>
      </c>
      <c r="M20" s="6">
        <f>tblDisplaySheet[[#This Row],[DB Calls (ms)]]</f>
        <v>0</v>
      </c>
      <c r="N20" s="6">
        <f>tblDisplaySheet[[#This Row],[Logic (ms)]]</f>
        <v>0</v>
      </c>
      <c r="O20" s="6">
        <f>tblDisplaySheet[[#This Row],[Rules (ms)]]</f>
        <v>0</v>
      </c>
      <c r="P20" s="6">
        <f>tblDisplaySheet[[#This Row],[Latency (ms)]]</f>
        <v>0</v>
      </c>
      <c r="Q20" s="6">
        <f>tblDisplaySheet[[#This Row],[Latency (ms)]]</f>
        <v>0</v>
      </c>
      <c r="R20" s="6">
        <f>tblDisplaySheet[[#This Row],[Total Process Path Length]]</f>
        <v>3890</v>
      </c>
      <c r="S20" s="6">
        <f>tblDisplaySheet[[#This Row],[Total Process Time]]</f>
        <v>0</v>
      </c>
      <c r="T20" s="6">
        <f>tblDisplaySheet[[#This Row],[Total Process Path Length]]</f>
        <v>3890</v>
      </c>
      <c r="U20" s="6">
        <f>tblDisplaySheet[[#This Row],[Total Process Path Length NFR]]</f>
        <v>4238</v>
      </c>
      <c r="V20" s="6" t="str">
        <f>tblDisplaySheet[[#This Row],[Status]]</f>
        <v>On Target</v>
      </c>
      <c r="W20" s="6" t="str">
        <f>tblDisplaySheet[[#This Row],[Is Leaf?]]</f>
        <v>G</v>
      </c>
      <c r="X20" s="6" t="str">
        <f>tblDisplaySheet[[#This Row],[Owner]]</f>
        <v>Alak</v>
      </c>
    </row>
    <row r="21" spans="1:24" x14ac:dyDescent="0.25">
      <c r="A21" s="6">
        <f>tblDisplaySheet[[#This Row],[Link]]</f>
        <v>18</v>
      </c>
      <c r="B21" s="6">
        <f>tblDisplaySheet[[#This Row],[Level]]</f>
        <v>3</v>
      </c>
      <c r="C21" s="6">
        <f>tblDisplaySheet[[#This Row],[Sl.No]]</f>
        <v>19</v>
      </c>
      <c r="D21" s="6" t="str">
        <f>tblDisplaySheet[[#This Row],[Group]]</f>
        <v>Service Level</v>
      </c>
      <c r="E21" s="6" t="str">
        <f>TEXT(tblInputSheet[[#This Row],[Sl.No]], "000")&amp; ":"&amp; tblInputSheet[[#This Row],[Process]]</f>
        <v>019:Service Mainline</v>
      </c>
      <c r="F21" s="6" t="str">
        <f>IFERROR(IF(tblInputSheet[[#This Row],[Hosted Platform]] = "-", "", VLOOKUP(tblInputSheet[[#This Row],[Hosted Platform]], tblHosted_PlatformOwner[], 2,FALSE)), "")</f>
        <v>CC004</v>
      </c>
      <c r="G21" s="6" t="str">
        <f>IFERROR(IF(tblInputSheet[[#This Row],[Provider]] = "-", "", VLOOKUP(tblInputSheet[[#This Row],[Provider]], tblParticipants[], 2,FALSE)), "")</f>
        <v>PP004</v>
      </c>
      <c r="H21" s="6" t="str">
        <f>IFERROR(IF(tblInputSheet[[#This Row],[Consumer]] = "-", "", VLOOKUP(tblInputSheet[[#This Row],[Consumer]], tblParticipants[], 2,FALSE)), "")</f>
        <v>PP004</v>
      </c>
      <c r="I21" s="6" t="str">
        <f>IFERROR(IF(tblInputSheet[[#This Row],[Integration Pattern]] = "-", "", VLOOKUP(tblInputSheet[[#This Row],[Integration Pattern]], tblIntegrationPartten[], 2,FALSE)), "")</f>
        <v>IP010</v>
      </c>
      <c r="J21" s="6" t="str">
        <f>tblDisplaySheet[[#This Row],[Current State]]</f>
        <v>Y</v>
      </c>
      <c r="K21" s="6" t="str">
        <f>tblDisplaySheet[[#This Row],[Confidence Factor]]</f>
        <v>Low</v>
      </c>
      <c r="L21" s="6">
        <f>tblDisplaySheet[[#This Row],[Count of Invocations]]</f>
        <v>1</v>
      </c>
      <c r="M21" s="6">
        <f>tblDisplaySheet[[#This Row],[DB Calls (ms)]]</f>
        <v>1</v>
      </c>
      <c r="N21" s="6">
        <f>tblDisplaySheet[[#This Row],[Logic (ms)]]</f>
        <v>5</v>
      </c>
      <c r="O21" s="6">
        <f>tblDisplaySheet[[#This Row],[Rules (ms)]]</f>
        <v>0</v>
      </c>
      <c r="P21" s="6">
        <f>tblDisplaySheet[[#This Row],[Latency (ms)]]</f>
        <v>1</v>
      </c>
      <c r="Q21" s="6">
        <f>tblDisplaySheet[[#This Row],[Latency (ms)]]</f>
        <v>1</v>
      </c>
      <c r="R21" s="6">
        <f>tblDisplaySheet[[#This Row],[Total Process Path Length]]</f>
        <v>3890</v>
      </c>
      <c r="S21" s="6">
        <f>tblDisplaySheet[[#This Row],[Total Process Time]]</f>
        <v>7</v>
      </c>
      <c r="T21" s="6">
        <f>tblDisplaySheet[[#This Row],[Total Process Path Length]]</f>
        <v>3890</v>
      </c>
      <c r="U21" s="6">
        <f>tblDisplaySheet[[#This Row],[Total Process Path Length NFR]]</f>
        <v>4238</v>
      </c>
      <c r="V21" s="6" t="str">
        <f>tblDisplaySheet[[#This Row],[Status]]</f>
        <v>On Target</v>
      </c>
      <c r="W21" s="6" t="str">
        <f>tblDisplaySheet[[#This Row],[Is Leaf?]]</f>
        <v>N</v>
      </c>
      <c r="X21" s="6" t="str">
        <f>tblDisplaySheet[[#This Row],[Owner]]</f>
        <v>Alak</v>
      </c>
    </row>
    <row r="22" spans="1:24" x14ac:dyDescent="0.25">
      <c r="A22" s="6">
        <f>tblDisplaySheet[[#This Row],[Link]]</f>
        <v>19</v>
      </c>
      <c r="B22" s="6">
        <f>tblDisplaySheet[[#This Row],[Level]]</f>
        <v>4</v>
      </c>
      <c r="C22" s="6">
        <f>tblDisplaySheet[[#This Row],[Sl.No]]</f>
        <v>20</v>
      </c>
      <c r="D22" s="6" t="str">
        <f>tblDisplaySheet[[#This Row],[Group]]</f>
        <v>Service Level</v>
      </c>
      <c r="E22" s="6" t="str">
        <f>TEXT(tblInputSheet[[#This Row],[Sl.No]], "000")&amp; ":"&amp; tblInputSheet[[#This Row],[Process]]</f>
        <v>020:ITS Module</v>
      </c>
      <c r="F22" s="6" t="str">
        <f>IFERROR(IF(tblInputSheet[[#This Row],[Hosted Platform]] = "-", "", VLOOKUP(tblInputSheet[[#This Row],[Hosted Platform]], tblHosted_PlatformOwner[], 2,FALSE)), "")</f>
        <v>CC004</v>
      </c>
      <c r="G22" s="6" t="str">
        <f>IFERROR(IF(tblInputSheet[[#This Row],[Provider]] = "-", "", VLOOKUP(tblInputSheet[[#This Row],[Provider]], tblParticipants[], 2,FALSE)), "")</f>
        <v>PP004</v>
      </c>
      <c r="H22" s="6" t="str">
        <f>IFERROR(IF(tblInputSheet[[#This Row],[Consumer]] = "-", "", VLOOKUP(tblInputSheet[[#This Row],[Consumer]], tblParticipants[], 2,FALSE)), "")</f>
        <v>PP004</v>
      </c>
      <c r="I22" s="6" t="str">
        <f>IFERROR(IF(tblInputSheet[[#This Row],[Integration Pattern]] = "-", "", VLOOKUP(tblInputSheet[[#This Row],[Integration Pattern]], tblIntegrationPartten[], 2,FALSE)), "")</f>
        <v>IP010</v>
      </c>
      <c r="J22" s="6" t="str">
        <f>tblDisplaySheet[[#This Row],[Current State]]</f>
        <v>Y</v>
      </c>
      <c r="K22" s="6" t="str">
        <f>tblDisplaySheet[[#This Row],[Confidence Factor]]</f>
        <v>Low</v>
      </c>
      <c r="L22" s="6">
        <f>tblDisplaySheet[[#This Row],[Count of Invocations]]</f>
        <v>1</v>
      </c>
      <c r="M22" s="6">
        <f>tblDisplaySheet[[#This Row],[DB Calls (ms)]]</f>
        <v>1</v>
      </c>
      <c r="N22" s="6">
        <f>tblDisplaySheet[[#This Row],[Logic (ms)]]</f>
        <v>5</v>
      </c>
      <c r="O22" s="6">
        <f>tblDisplaySheet[[#This Row],[Rules (ms)]]</f>
        <v>0</v>
      </c>
      <c r="P22" s="6">
        <f>tblDisplaySheet[[#This Row],[Latency (ms)]]</f>
        <v>1</v>
      </c>
      <c r="Q22" s="6">
        <f>tblDisplaySheet[[#This Row],[Latency (ms)]]</f>
        <v>1</v>
      </c>
      <c r="R22" s="6">
        <f>tblDisplaySheet[[#This Row],[Total Process Path Length]]</f>
        <v>7</v>
      </c>
      <c r="S22" s="6">
        <f>tblDisplaySheet[[#This Row],[Total Process Time]]</f>
        <v>7</v>
      </c>
      <c r="T22" s="6">
        <f>tblDisplaySheet[[#This Row],[Total Process Path Length]]</f>
        <v>7</v>
      </c>
      <c r="U22" s="6">
        <f>tblDisplaySheet[[#This Row],[Total Process Path Length NFR]]</f>
        <v>10</v>
      </c>
      <c r="V22" s="6" t="str">
        <f>tblDisplaySheet[[#This Row],[Status]]</f>
        <v>On Target</v>
      </c>
      <c r="W22" s="6" t="str">
        <f>tblDisplaySheet[[#This Row],[Is Leaf?]]</f>
        <v>Y</v>
      </c>
      <c r="X22" s="6" t="str">
        <f>tblDisplaySheet[[#This Row],[Owner]]</f>
        <v>Alak</v>
      </c>
    </row>
    <row r="23" spans="1:24" x14ac:dyDescent="0.25">
      <c r="A23" s="6">
        <f>tblDisplaySheet[[#This Row],[Link]]</f>
        <v>19</v>
      </c>
      <c r="B23" s="6">
        <f>tblDisplaySheet[[#This Row],[Level]]</f>
        <v>4</v>
      </c>
      <c r="C23" s="6">
        <f>tblDisplaySheet[[#This Row],[Sl.No]]</f>
        <v>21</v>
      </c>
      <c r="D23" s="6" t="str">
        <f>tblDisplaySheet[[#This Row],[Group]]</f>
        <v>Service Level</v>
      </c>
      <c r="E23" s="6" t="str">
        <f>TEXT(tblInputSheet[[#This Row],[Sl.No]], "000")&amp; ":"&amp; tblInputSheet[[#This Row],[Process]]</f>
        <v>021:TPL Select</v>
      </c>
      <c r="F23" s="6" t="str">
        <f>IFERROR(IF(tblInputSheet[[#This Row],[Hosted Platform]] = "-", "", VLOOKUP(tblInputSheet[[#This Row],[Hosted Platform]], tblHosted_PlatformOwner[], 2,FALSE)), "")</f>
        <v>CC004</v>
      </c>
      <c r="G23" s="6" t="str">
        <f>IFERROR(IF(tblInputSheet[[#This Row],[Provider]] = "-", "", VLOOKUP(tblInputSheet[[#This Row],[Provider]], tblParticipants[], 2,FALSE)), "")</f>
        <v>PP004</v>
      </c>
      <c r="H23" s="6" t="str">
        <f>IFERROR(IF(tblInputSheet[[#This Row],[Consumer]] = "-", "", VLOOKUP(tblInputSheet[[#This Row],[Consumer]], tblParticipants[], 2,FALSE)), "")</f>
        <v>PP004</v>
      </c>
      <c r="I23" s="6" t="str">
        <f>IFERROR(IF(tblInputSheet[[#This Row],[Integration Pattern]] = "-", "", VLOOKUP(tblInputSheet[[#This Row],[Integration Pattern]], tblIntegrationPartten[], 2,FALSE)), "")</f>
        <v>IP010</v>
      </c>
      <c r="J23" s="6" t="str">
        <f>tblDisplaySheet[[#This Row],[Current State]]</f>
        <v>Y</v>
      </c>
      <c r="K23" s="6" t="str">
        <f>tblDisplaySheet[[#This Row],[Confidence Factor]]</f>
        <v>Low</v>
      </c>
      <c r="L23" s="6">
        <f>tblDisplaySheet[[#This Row],[Count of Invocations]]</f>
        <v>1</v>
      </c>
      <c r="M23" s="6">
        <f>tblDisplaySheet[[#This Row],[DB Calls (ms)]]</f>
        <v>1</v>
      </c>
      <c r="N23" s="6">
        <f>tblDisplaySheet[[#This Row],[Logic (ms)]]</f>
        <v>5</v>
      </c>
      <c r="O23" s="6">
        <f>tblDisplaySheet[[#This Row],[Rules (ms)]]</f>
        <v>0</v>
      </c>
      <c r="P23" s="6">
        <f>tblDisplaySheet[[#This Row],[Latency (ms)]]</f>
        <v>1</v>
      </c>
      <c r="Q23" s="6">
        <f>tblDisplaySheet[[#This Row],[Latency (ms)]]</f>
        <v>1</v>
      </c>
      <c r="R23" s="6">
        <f>tblDisplaySheet[[#This Row],[Total Process Path Length]]</f>
        <v>7</v>
      </c>
      <c r="S23" s="6">
        <f>tblDisplaySheet[[#This Row],[Total Process Time]]</f>
        <v>7</v>
      </c>
      <c r="T23" s="6">
        <f>tblDisplaySheet[[#This Row],[Total Process Path Length]]</f>
        <v>7</v>
      </c>
      <c r="U23" s="6">
        <f>tblDisplaySheet[[#This Row],[Total Process Path Length NFR]]</f>
        <v>10</v>
      </c>
      <c r="V23" s="6" t="str">
        <f>tblDisplaySheet[[#This Row],[Status]]</f>
        <v>On Target</v>
      </c>
      <c r="W23" s="6" t="str">
        <f>tblDisplaySheet[[#This Row],[Is Leaf?]]</f>
        <v>Y</v>
      </c>
      <c r="X23" s="6" t="str">
        <f>tblDisplaySheet[[#This Row],[Owner]]</f>
        <v>Alak</v>
      </c>
    </row>
    <row r="24" spans="1:24" x14ac:dyDescent="0.25">
      <c r="A24" s="6">
        <f>tblDisplaySheet[[#This Row],[Link]]</f>
        <v>19</v>
      </c>
      <c r="B24" s="6">
        <f>tblDisplaySheet[[#This Row],[Level]]</f>
        <v>4</v>
      </c>
      <c r="C24" s="6">
        <f>tblDisplaySheet[[#This Row],[Sl.No]]</f>
        <v>22</v>
      </c>
      <c r="D24" s="6" t="str">
        <f>tblDisplaySheet[[#This Row],[Group]]</f>
        <v>Service Level</v>
      </c>
      <c r="E24" s="6" t="str">
        <f>TEXT(tblInputSheet[[#This Row],[Sl.No]], "000")&amp; ":"&amp; tblInputSheet[[#This Row],[Process]]</f>
        <v xml:space="preserve">022:Service Level Mule Adapter </v>
      </c>
      <c r="F24" s="6" t="str">
        <f>IFERROR(IF(tblInputSheet[[#This Row],[Hosted Platform]] = "-", "", VLOOKUP(tblInputSheet[[#This Row],[Hosted Platform]], tblHosted_PlatformOwner[], 2,FALSE)), "")</f>
        <v>CC002</v>
      </c>
      <c r="G24" s="6" t="str">
        <f>IFERROR(IF(tblInputSheet[[#This Row],[Provider]] = "-", "", VLOOKUP(tblInputSheet[[#This Row],[Provider]], tblParticipants[], 2,FALSE)), "")</f>
        <v>PP001</v>
      </c>
      <c r="H24" s="6" t="str">
        <f>IFERROR(IF(tblInputSheet[[#This Row],[Consumer]] = "-", "", VLOOKUP(tblInputSheet[[#This Row],[Consumer]], tblParticipants[], 2,FALSE)), "")</f>
        <v>PP001</v>
      </c>
      <c r="I24" s="6" t="str">
        <f>IFERROR(IF(tblInputSheet[[#This Row],[Integration Pattern]] = "-", "", VLOOKUP(tblInputSheet[[#This Row],[Integration Pattern]], tblIntegrationPartten[], 2,FALSE)), "")</f>
        <v>IP003</v>
      </c>
      <c r="J24" s="6" t="str">
        <f>tblDisplaySheet[[#This Row],[Current State]]</f>
        <v>Y</v>
      </c>
      <c r="K24" s="6" t="str">
        <f>tblDisplaySheet[[#This Row],[Confidence Factor]]</f>
        <v>Low</v>
      </c>
      <c r="L24" s="6">
        <f>tblDisplaySheet[[#This Row],[Count of Invocations]]</f>
        <v>1</v>
      </c>
      <c r="M24" s="6">
        <f>tblDisplaySheet[[#This Row],[DB Calls (ms)]]</f>
        <v>0</v>
      </c>
      <c r="N24" s="6">
        <f>tblDisplaySheet[[#This Row],[Logic (ms)]]</f>
        <v>40</v>
      </c>
      <c r="O24" s="6">
        <f>tblDisplaySheet[[#This Row],[Rules (ms)]]</f>
        <v>0</v>
      </c>
      <c r="P24" s="6">
        <f>tblDisplaySheet[[#This Row],[Latency (ms)]]</f>
        <v>25</v>
      </c>
      <c r="Q24" s="6">
        <f>tblDisplaySheet[[#This Row],[Latency (ms)]]</f>
        <v>25</v>
      </c>
      <c r="R24" s="6">
        <f>tblDisplaySheet[[#This Row],[Total Process Path Length]]</f>
        <v>3819</v>
      </c>
      <c r="S24" s="6">
        <f>tblDisplaySheet[[#This Row],[Total Process Time]]</f>
        <v>65</v>
      </c>
      <c r="T24" s="6">
        <f>tblDisplaySheet[[#This Row],[Total Process Path Length]]</f>
        <v>3819</v>
      </c>
      <c r="U24" s="6">
        <f>tblDisplaySheet[[#This Row],[Total Process Path Length NFR]]</f>
        <v>4158</v>
      </c>
      <c r="V24" s="6" t="str">
        <f>tblDisplaySheet[[#This Row],[Status]]</f>
        <v>On Target</v>
      </c>
      <c r="W24" s="6" t="str">
        <f>tblDisplaySheet[[#This Row],[Is Leaf?]]</f>
        <v>N</v>
      </c>
      <c r="X24" s="6" t="str">
        <f>tblDisplaySheet[[#This Row],[Owner]]</f>
        <v>Alak</v>
      </c>
    </row>
    <row r="25" spans="1:24" x14ac:dyDescent="0.25">
      <c r="A25" s="6">
        <f>tblDisplaySheet[[#This Row],[Link]]</f>
        <v>22</v>
      </c>
      <c r="B25" s="6">
        <f>tblDisplaySheet[[#This Row],[Level]]</f>
        <v>5</v>
      </c>
      <c r="C25" s="6">
        <f>tblDisplaySheet[[#This Row],[Sl.No]]</f>
        <v>23</v>
      </c>
      <c r="D25" s="6" t="str">
        <f>tblDisplaySheet[[#This Row],[Group]]</f>
        <v>Service Level</v>
      </c>
      <c r="E25" s="6" t="str">
        <f>TEXT(tblInputSheet[[#This Row],[Sl.No]], "000")&amp; ":"&amp; tblInputSheet[[#This Row],[Process]]</f>
        <v>023:Claim Adjudication Primier Microservice</v>
      </c>
      <c r="F25" s="6" t="str">
        <f>IFERROR(IF(tblInputSheet[[#This Row],[Hosted Platform]] = "-", "", VLOOKUP(tblInputSheet[[#This Row],[Hosted Platform]], tblHosted_PlatformOwner[], 2,FALSE)), "")</f>
        <v>CC001</v>
      </c>
      <c r="G25" s="6" t="str">
        <f>IFERROR(IF(tblInputSheet[[#This Row],[Provider]] = "-", "", VLOOKUP(tblInputSheet[[#This Row],[Provider]], tblParticipants[], 2,FALSE)), "")</f>
        <v>PP001</v>
      </c>
      <c r="H25" s="6" t="str">
        <f>IFERROR(IF(tblInputSheet[[#This Row],[Consumer]] = "-", "", VLOOKUP(tblInputSheet[[#This Row],[Consumer]], tblParticipants[], 2,FALSE)), "")</f>
        <v>PP001</v>
      </c>
      <c r="I25" s="6" t="str">
        <f>IFERROR(IF(tblInputSheet[[#This Row],[Integration Pattern]] = "-", "", VLOOKUP(tblInputSheet[[#This Row],[Integration Pattern]], tblIntegrationPartten[], 2,FALSE)), "")</f>
        <v>IP001</v>
      </c>
      <c r="J25" s="6" t="str">
        <f>tblDisplaySheet[[#This Row],[Current State]]</f>
        <v>Y</v>
      </c>
      <c r="K25" s="6" t="str">
        <f>tblDisplaySheet[[#This Row],[Confidence Factor]]</f>
        <v>Medium</v>
      </c>
      <c r="L25" s="6">
        <f>tblDisplaySheet[[#This Row],[Count of Invocations]]</f>
        <v>1</v>
      </c>
      <c r="M25" s="6">
        <f>tblDisplaySheet[[#This Row],[DB Calls (ms)]]</f>
        <v>1</v>
      </c>
      <c r="N25" s="6">
        <f>tblDisplaySheet[[#This Row],[Logic (ms)]]</f>
        <v>1</v>
      </c>
      <c r="O25" s="6">
        <f>tblDisplaySheet[[#This Row],[Rules (ms)]]</f>
        <v>1</v>
      </c>
      <c r="P25" s="6">
        <f>tblDisplaySheet[[#This Row],[Latency (ms)]]</f>
        <v>5</v>
      </c>
      <c r="Q25" s="6">
        <f>tblDisplaySheet[[#This Row],[Latency (ms)]]</f>
        <v>5</v>
      </c>
      <c r="R25" s="6">
        <f>tblDisplaySheet[[#This Row],[Total Process Path Length]]</f>
        <v>3754</v>
      </c>
      <c r="S25" s="6">
        <f>tblDisplaySheet[[#This Row],[Total Process Time]]</f>
        <v>8</v>
      </c>
      <c r="T25" s="6">
        <f>tblDisplaySheet[[#This Row],[Total Process Path Length]]</f>
        <v>3754</v>
      </c>
      <c r="U25" s="6">
        <f>tblDisplaySheet[[#This Row],[Total Process Path Length NFR]]</f>
        <v>4093</v>
      </c>
      <c r="V25" s="6" t="str">
        <f>tblDisplaySheet[[#This Row],[Status]]</f>
        <v>On Target</v>
      </c>
      <c r="W25" s="6" t="str">
        <f>tblDisplaySheet[[#This Row],[Is Leaf?]]</f>
        <v>N</v>
      </c>
      <c r="X25" s="6" t="str">
        <f>tblDisplaySheet[[#This Row],[Owner]]</f>
        <v>Alak</v>
      </c>
    </row>
    <row r="26" spans="1:24" x14ac:dyDescent="0.25">
      <c r="A26" s="6">
        <f>tblDisplaySheet[[#This Row],[Link]]</f>
        <v>23</v>
      </c>
      <c r="B26" s="6">
        <f>tblDisplaySheet[[#This Row],[Level]]</f>
        <v>6</v>
      </c>
      <c r="C26" s="6">
        <f>tblDisplaySheet[[#This Row],[Sl.No]]</f>
        <v>24</v>
      </c>
      <c r="D26" s="6" t="str">
        <f>tblDisplaySheet[[#This Row],[Group]]</f>
        <v>Service Level</v>
      </c>
      <c r="E26" s="6" t="str">
        <f>TEXT(tblInputSheet[[#This Row],[Sl.No]], "000")&amp; ":"&amp; tblInputSheet[[#This Row],[Process]]</f>
        <v>024:Claim Adjudication Sequencer Microservice</v>
      </c>
      <c r="F26" s="6" t="str">
        <f>IFERROR(IF(tblInputSheet[[#This Row],[Hosted Platform]] = "-", "", VLOOKUP(tblInputSheet[[#This Row],[Hosted Platform]], tblHosted_PlatformOwner[], 2,FALSE)), "")</f>
        <v>CC001</v>
      </c>
      <c r="G26" s="6" t="str">
        <f>IFERROR(IF(tblInputSheet[[#This Row],[Provider]] = "-", "", VLOOKUP(tblInputSheet[[#This Row],[Provider]], tblParticipants[], 2,FALSE)), "")</f>
        <v>PP001</v>
      </c>
      <c r="H26" s="6" t="str">
        <f>IFERROR(IF(tblInputSheet[[#This Row],[Consumer]] = "-", "", VLOOKUP(tblInputSheet[[#This Row],[Consumer]], tblParticipants[], 2,FALSE)), "")</f>
        <v>PP001</v>
      </c>
      <c r="I26" s="6" t="str">
        <f>IFERROR(IF(tblInputSheet[[#This Row],[Integration Pattern]] = "-", "", VLOOKUP(tblInputSheet[[#This Row],[Integration Pattern]], tblIntegrationPartten[], 2,FALSE)), "")</f>
        <v>IP001</v>
      </c>
      <c r="J26" s="6" t="str">
        <f>tblDisplaySheet[[#This Row],[Current State]]</f>
        <v>Y</v>
      </c>
      <c r="K26" s="6" t="str">
        <f>tblDisplaySheet[[#This Row],[Confidence Factor]]</f>
        <v>Medium</v>
      </c>
      <c r="L26" s="6">
        <f>tblDisplaySheet[[#This Row],[Count of Invocations]]</f>
        <v>1</v>
      </c>
      <c r="M26" s="6">
        <f>tblDisplaySheet[[#This Row],[DB Calls (ms)]]</f>
        <v>1</v>
      </c>
      <c r="N26" s="6">
        <f>tblDisplaySheet[[#This Row],[Logic (ms)]]</f>
        <v>1</v>
      </c>
      <c r="O26" s="6">
        <f>tblDisplaySheet[[#This Row],[Rules (ms)]]</f>
        <v>1</v>
      </c>
      <c r="P26" s="6">
        <f>tblDisplaySheet[[#This Row],[Latency (ms)]]</f>
        <v>5</v>
      </c>
      <c r="Q26" s="6">
        <f>tblDisplaySheet[[#This Row],[Latency (ms)]]</f>
        <v>5</v>
      </c>
      <c r="R26" s="6">
        <f>tblDisplaySheet[[#This Row],[Total Process Path Length]]</f>
        <v>3746</v>
      </c>
      <c r="S26" s="6">
        <f>tblDisplaySheet[[#This Row],[Total Process Time]]</f>
        <v>8</v>
      </c>
      <c r="T26" s="6">
        <f>tblDisplaySheet[[#This Row],[Total Process Path Length]]</f>
        <v>3746</v>
      </c>
      <c r="U26" s="6">
        <f>tblDisplaySheet[[#This Row],[Total Process Path Length NFR]]</f>
        <v>4083</v>
      </c>
      <c r="V26" s="6" t="str">
        <f>tblDisplaySheet[[#This Row],[Status]]</f>
        <v>On Target</v>
      </c>
      <c r="W26" s="6" t="str">
        <f>tblDisplaySheet[[#This Row],[Is Leaf?]]</f>
        <v>N</v>
      </c>
      <c r="X26" s="6" t="str">
        <f>tblDisplaySheet[[#This Row],[Owner]]</f>
        <v>Alak</v>
      </c>
    </row>
    <row r="27" spans="1:24" x14ac:dyDescent="0.25">
      <c r="A27" s="6">
        <f>tblDisplaySheet[[#This Row],[Link]]</f>
        <v>24</v>
      </c>
      <c r="B27" s="6">
        <f>tblDisplaySheet[[#This Row],[Level]]</f>
        <v>7</v>
      </c>
      <c r="C27" s="6">
        <f>tblDisplaySheet[[#This Row],[Sl.No]]</f>
        <v>25</v>
      </c>
      <c r="D27" s="6" t="str">
        <f>tblDisplaySheet[[#This Row],[Group]]</f>
        <v>Service Level - BD</v>
      </c>
      <c r="E27" s="6" t="str">
        <f>TEXT(tblInputSheet[[#This Row],[Sl.No]], "000")&amp; ":"&amp; tblInputSheet[[#This Row],[Process]]</f>
        <v xml:space="preserve">025:BD </v>
      </c>
      <c r="F27" s="6" t="str">
        <f>IFERROR(IF(tblInputSheet[[#This Row],[Hosted Platform]] = "-", "", VLOOKUP(tblInputSheet[[#This Row],[Hosted Platform]], tblHosted_PlatformOwner[], 2,FALSE)), "")</f>
        <v>CC000</v>
      </c>
      <c r="G27" s="6" t="str">
        <f>IFERROR(IF(tblInputSheet[[#This Row],[Provider]] = "-", "", VLOOKUP(tblInputSheet[[#This Row],[Provider]], tblParticipants[], 2,FALSE)), "")</f>
        <v>PP000</v>
      </c>
      <c r="H27" s="6" t="str">
        <f>IFERROR(IF(tblInputSheet[[#This Row],[Consumer]] = "-", "", VLOOKUP(tblInputSheet[[#This Row],[Consumer]], tblParticipants[], 2,FALSE)), "")</f>
        <v>PP000</v>
      </c>
      <c r="I27" s="6" t="str">
        <f>IFERROR(IF(tblInputSheet[[#This Row],[Integration Pattern]] = "-", "", VLOOKUP(tblInputSheet[[#This Row],[Integration Pattern]], tblIntegrationPartten[], 2,FALSE)), "")</f>
        <v>IP000</v>
      </c>
      <c r="J27" s="6" t="str">
        <f>tblDisplaySheet[[#This Row],[Current State]]</f>
        <v>Y</v>
      </c>
      <c r="K27" s="6" t="str">
        <f>tblDisplaySheet[[#This Row],[Confidence Factor]]</f>
        <v>Group</v>
      </c>
      <c r="L27" s="6">
        <f>tblDisplaySheet[[#This Row],[Count of Invocations]]</f>
        <v>1</v>
      </c>
      <c r="M27" s="6">
        <f>tblDisplaySheet[[#This Row],[DB Calls (ms)]]</f>
        <v>0</v>
      </c>
      <c r="N27" s="6">
        <f>tblDisplaySheet[[#This Row],[Logic (ms)]]</f>
        <v>0</v>
      </c>
      <c r="O27" s="6">
        <f>tblDisplaySheet[[#This Row],[Rules (ms)]]</f>
        <v>0</v>
      </c>
      <c r="P27" s="6">
        <f>tblDisplaySheet[[#This Row],[Latency (ms)]]</f>
        <v>0</v>
      </c>
      <c r="Q27" s="6">
        <f>tblDisplaySheet[[#This Row],[Latency (ms)]]</f>
        <v>0</v>
      </c>
      <c r="R27" s="6">
        <f>tblDisplaySheet[[#This Row],[Total Process Path Length]]</f>
        <v>740</v>
      </c>
      <c r="S27" s="6">
        <f>tblDisplaySheet[[#This Row],[Total Process Time]]</f>
        <v>0</v>
      </c>
      <c r="T27" s="6">
        <f>tblDisplaySheet[[#This Row],[Total Process Path Length]]</f>
        <v>740</v>
      </c>
      <c r="U27" s="6">
        <f>tblDisplaySheet[[#This Row],[Total Process Path Length NFR]]</f>
        <v>835</v>
      </c>
      <c r="V27" s="6" t="str">
        <f>tblDisplaySheet[[#This Row],[Status]]</f>
        <v>On Target</v>
      </c>
      <c r="W27" s="6" t="str">
        <f>tblDisplaySheet[[#This Row],[Is Leaf?]]</f>
        <v>G</v>
      </c>
      <c r="X27" s="6" t="str">
        <f>tblDisplaySheet[[#This Row],[Owner]]</f>
        <v>Sankar</v>
      </c>
    </row>
    <row r="28" spans="1:24" x14ac:dyDescent="0.25">
      <c r="A28" s="6">
        <f>tblDisplaySheet[[#This Row],[Link]]</f>
        <v>25</v>
      </c>
      <c r="B28" s="6">
        <f>tblDisplaySheet[[#This Row],[Level]]</f>
        <v>8</v>
      </c>
      <c r="C28" s="6">
        <f>tblDisplaySheet[[#This Row],[Sl.No]]</f>
        <v>26</v>
      </c>
      <c r="D28" s="6" t="str">
        <f>tblDisplaySheet[[#This Row],[Group]]</f>
        <v>Service Level - BD</v>
      </c>
      <c r="E28" s="6" t="str">
        <f>TEXT(tblInputSheet[[#This Row],[Sl.No]], "000")&amp; ":"&amp; tblInputSheet[[#This Row],[Process]]</f>
        <v>026:Benefit Determination Service</v>
      </c>
      <c r="F28" s="6" t="str">
        <f>IFERROR(IF(tblInputSheet[[#This Row],[Hosted Platform]] = "-", "", VLOOKUP(tblInputSheet[[#This Row],[Hosted Platform]], tblHosted_PlatformOwner[], 2,FALSE)), "")</f>
        <v>CC001</v>
      </c>
      <c r="G28" s="6" t="str">
        <f>IFERROR(IF(tblInputSheet[[#This Row],[Provider]] = "-", "", VLOOKUP(tblInputSheet[[#This Row],[Provider]], tblParticipants[], 2,FALSE)), "")</f>
        <v>PP001</v>
      </c>
      <c r="H28" s="6" t="str">
        <f>IFERROR(IF(tblInputSheet[[#This Row],[Consumer]] = "-", "", VLOOKUP(tblInputSheet[[#This Row],[Consumer]], tblParticipants[], 2,FALSE)), "")</f>
        <v>PP001</v>
      </c>
      <c r="I28" s="6" t="str">
        <f>IFERROR(IF(tblInputSheet[[#This Row],[Integration Pattern]] = "-", "", VLOOKUP(tblInputSheet[[#This Row],[Integration Pattern]], tblIntegrationPartten[], 2,FALSE)), "")</f>
        <v>IP001</v>
      </c>
      <c r="J28" s="6" t="str">
        <f>tblDisplaySheet[[#This Row],[Current State]]</f>
        <v>Y</v>
      </c>
      <c r="K28" s="6" t="str">
        <f>tblDisplaySheet[[#This Row],[Confidence Factor]]</f>
        <v>Medium</v>
      </c>
      <c r="L28" s="6">
        <f>tblDisplaySheet[[#This Row],[Count of Invocations]]</f>
        <v>1</v>
      </c>
      <c r="M28" s="6">
        <f>tblDisplaySheet[[#This Row],[DB Calls (ms)]]</f>
        <v>1</v>
      </c>
      <c r="N28" s="6">
        <f>tblDisplaySheet[[#This Row],[Logic (ms)]]</f>
        <v>20</v>
      </c>
      <c r="O28" s="6">
        <f>tblDisplaySheet[[#This Row],[Rules (ms)]]</f>
        <v>0</v>
      </c>
      <c r="P28" s="6">
        <f>tblDisplaySheet[[#This Row],[Latency (ms)]]</f>
        <v>5</v>
      </c>
      <c r="Q28" s="6">
        <f>tblDisplaySheet[[#This Row],[Latency (ms)]]</f>
        <v>5</v>
      </c>
      <c r="R28" s="6">
        <f>tblDisplaySheet[[#This Row],[Total Process Path Length]]</f>
        <v>740</v>
      </c>
      <c r="S28" s="6">
        <f>tblDisplaySheet[[#This Row],[Total Process Time]]</f>
        <v>26</v>
      </c>
      <c r="T28" s="6">
        <f>tblDisplaySheet[[#This Row],[Total Process Path Length]]</f>
        <v>740</v>
      </c>
      <c r="U28" s="6">
        <f>tblDisplaySheet[[#This Row],[Total Process Path Length NFR]]</f>
        <v>835</v>
      </c>
      <c r="V28" s="6" t="str">
        <f>tblDisplaySheet[[#This Row],[Status]]</f>
        <v>On Target</v>
      </c>
      <c r="W28" s="6" t="str">
        <f>tblDisplaySheet[[#This Row],[Is Leaf?]]</f>
        <v>N</v>
      </c>
      <c r="X28" s="6" t="str">
        <f>tblDisplaySheet[[#This Row],[Owner]]</f>
        <v>Sankar</v>
      </c>
    </row>
    <row r="29" spans="1:24" x14ac:dyDescent="0.25">
      <c r="A29" s="6">
        <f>tblDisplaySheet[[#This Row],[Link]]</f>
        <v>26</v>
      </c>
      <c r="B29" s="6">
        <f>tblDisplaySheet[[#This Row],[Level]]</f>
        <v>9</v>
      </c>
      <c r="C29" s="6">
        <f>tblDisplaySheet[[#This Row],[Sl.No]]</f>
        <v>27</v>
      </c>
      <c r="D29" s="6" t="str">
        <f>tblDisplaySheet[[#This Row],[Group]]</f>
        <v>Service Level - BD</v>
      </c>
      <c r="E29" s="6" t="str">
        <f>TEXT(tblInputSheet[[#This Row],[Sl.No]], "000")&amp; ":"&amp; tblInputSheet[[#This Row],[Process]]</f>
        <v>027:Contract API</v>
      </c>
      <c r="F29" s="6" t="str">
        <f>IFERROR(IF(tblInputSheet[[#This Row],[Hosted Platform]] = "-", "", VLOOKUP(tblInputSheet[[#This Row],[Hosted Platform]], tblHosted_PlatformOwner[], 2,FALSE)), "")</f>
        <v>CC001</v>
      </c>
      <c r="G29" s="6" t="str">
        <f>IFERROR(IF(tblInputSheet[[#This Row],[Provider]] = "-", "", VLOOKUP(tblInputSheet[[#This Row],[Provider]], tblParticipants[], 2,FALSE)), "")</f>
        <v>PP001</v>
      </c>
      <c r="H29" s="6" t="str">
        <f>IFERROR(IF(tblInputSheet[[#This Row],[Consumer]] = "-", "", VLOOKUP(tblInputSheet[[#This Row],[Consumer]], tblParticipants[], 2,FALSE)), "")</f>
        <v>PP001</v>
      </c>
      <c r="I29" s="6" t="str">
        <f>IFERROR(IF(tblInputSheet[[#This Row],[Integration Pattern]] = "-", "", VLOOKUP(tblInputSheet[[#This Row],[Integration Pattern]], tblIntegrationPartten[], 2,FALSE)), "")</f>
        <v>IP001</v>
      </c>
      <c r="J29" s="6" t="str">
        <f>tblDisplaySheet[[#This Row],[Current State]]</f>
        <v>Y</v>
      </c>
      <c r="K29" s="6" t="str">
        <f>tblDisplaySheet[[#This Row],[Confidence Factor]]</f>
        <v>Medium</v>
      </c>
      <c r="L29" s="6">
        <f>tblDisplaySheet[[#This Row],[Count of Invocations]]</f>
        <v>1</v>
      </c>
      <c r="M29" s="6">
        <f>tblDisplaySheet[[#This Row],[DB Calls (ms)]]</f>
        <v>5</v>
      </c>
      <c r="N29" s="6">
        <f>tblDisplaySheet[[#This Row],[Logic (ms)]]</f>
        <v>30</v>
      </c>
      <c r="O29" s="6">
        <f>tblDisplaySheet[[#This Row],[Rules (ms)]]</f>
        <v>0</v>
      </c>
      <c r="P29" s="6">
        <f>tblDisplaySheet[[#This Row],[Latency (ms)]]</f>
        <v>10</v>
      </c>
      <c r="Q29" s="6">
        <f>tblDisplaySheet[[#This Row],[Latency (ms)]]</f>
        <v>10</v>
      </c>
      <c r="R29" s="6">
        <f>tblDisplaySheet[[#This Row],[Total Process Path Length]]</f>
        <v>45</v>
      </c>
      <c r="S29" s="6">
        <f>tblDisplaySheet[[#This Row],[Total Process Time]]</f>
        <v>45</v>
      </c>
      <c r="T29" s="6">
        <f>tblDisplaySheet[[#This Row],[Total Process Path Length]]</f>
        <v>45</v>
      </c>
      <c r="U29" s="6">
        <f>tblDisplaySheet[[#This Row],[Total Process Path Length NFR]]</f>
        <v>50</v>
      </c>
      <c r="V29" s="6" t="str">
        <f>tblDisplaySheet[[#This Row],[Status]]</f>
        <v>On Target</v>
      </c>
      <c r="W29" s="6" t="str">
        <f>tblDisplaySheet[[#This Row],[Is Leaf?]]</f>
        <v>Y</v>
      </c>
      <c r="X29" s="6" t="str">
        <f>tblDisplaySheet[[#This Row],[Owner]]</f>
        <v>Greg</v>
      </c>
    </row>
    <row r="30" spans="1:24" x14ac:dyDescent="0.25">
      <c r="A30" s="6">
        <f>tblDisplaySheet[[#This Row],[Link]]</f>
        <v>26</v>
      </c>
      <c r="B30" s="6">
        <f>tblDisplaySheet[[#This Row],[Level]]</f>
        <v>9</v>
      </c>
      <c r="C30" s="6">
        <f>tblDisplaySheet[[#This Row],[Sl.No]]</f>
        <v>28</v>
      </c>
      <c r="D30" s="6" t="str">
        <f>tblDisplaySheet[[#This Row],[Group]]</f>
        <v>Service Level - BD</v>
      </c>
      <c r="E30" s="6" t="str">
        <f>TEXT(tblInputSheet[[#This Row],[Sl.No]], "000")&amp; ":"&amp; tblInputSheet[[#This Row],[Process]]</f>
        <v>028:Medical Policy Check Service</v>
      </c>
      <c r="F30" s="6" t="str">
        <f>IFERROR(IF(tblInputSheet[[#This Row],[Hosted Platform]] = "-", "", VLOOKUP(tblInputSheet[[#This Row],[Hosted Platform]], tblHosted_PlatformOwner[], 2,FALSE)), "")</f>
        <v>CC001</v>
      </c>
      <c r="G30" s="6" t="str">
        <f>IFERROR(IF(tblInputSheet[[#This Row],[Provider]] = "-", "", VLOOKUP(tblInputSheet[[#This Row],[Provider]], tblParticipants[], 2,FALSE)), "")</f>
        <v>PP001</v>
      </c>
      <c r="H30" s="6" t="str">
        <f>IFERROR(IF(tblInputSheet[[#This Row],[Consumer]] = "-", "", VLOOKUP(tblInputSheet[[#This Row],[Consumer]], tblParticipants[], 2,FALSE)), "")</f>
        <v>PP001</v>
      </c>
      <c r="I30" s="6" t="str">
        <f>IFERROR(IF(tblInputSheet[[#This Row],[Integration Pattern]] = "-", "", VLOOKUP(tblInputSheet[[#This Row],[Integration Pattern]], tblIntegrationPartten[], 2,FALSE)), "")</f>
        <v>IP006</v>
      </c>
      <c r="J30" s="6" t="str">
        <f>tblDisplaySheet[[#This Row],[Current State]]</f>
        <v>Y</v>
      </c>
      <c r="K30" s="6" t="str">
        <f>tblDisplaySheet[[#This Row],[Confidence Factor]]</f>
        <v>Medium</v>
      </c>
      <c r="L30" s="6">
        <f>tblDisplaySheet[[#This Row],[Count of Invocations]]</f>
        <v>1</v>
      </c>
      <c r="M30" s="6">
        <f>tblDisplaySheet[[#This Row],[DB Calls (ms)]]</f>
        <v>0</v>
      </c>
      <c r="N30" s="6">
        <f>tblDisplaySheet[[#This Row],[Logic (ms)]]</f>
        <v>2</v>
      </c>
      <c r="O30" s="6">
        <f>tblDisplaySheet[[#This Row],[Rules (ms)]]</f>
        <v>0</v>
      </c>
      <c r="P30" s="6">
        <f>tblDisplaySheet[[#This Row],[Latency (ms)]]</f>
        <v>10</v>
      </c>
      <c r="Q30" s="6">
        <f>tblDisplaySheet[[#This Row],[Latency (ms)]]</f>
        <v>10</v>
      </c>
      <c r="R30" s="6">
        <f>tblDisplaySheet[[#This Row],[Total Process Path Length]]</f>
        <v>107</v>
      </c>
      <c r="S30" s="6">
        <f>tblDisplaySheet[[#This Row],[Total Process Time]]</f>
        <v>12</v>
      </c>
      <c r="T30" s="6">
        <f>tblDisplaySheet[[#This Row],[Total Process Path Length]]</f>
        <v>107</v>
      </c>
      <c r="U30" s="6">
        <f>tblDisplaySheet[[#This Row],[Total Process Path Length NFR]]</f>
        <v>120</v>
      </c>
      <c r="V30" s="6" t="str">
        <f>tblDisplaySheet[[#This Row],[Status]]</f>
        <v>On Target</v>
      </c>
      <c r="W30" s="6" t="str">
        <f>tblDisplaySheet[[#This Row],[Is Leaf?]]</f>
        <v>N</v>
      </c>
      <c r="X30" s="6" t="str">
        <f>tblDisplaySheet[[#This Row],[Owner]]</f>
        <v>Sankar</v>
      </c>
    </row>
    <row r="31" spans="1:24" x14ac:dyDescent="0.25">
      <c r="A31" s="6">
        <f>tblDisplaySheet[[#This Row],[Link]]</f>
        <v>28</v>
      </c>
      <c r="B31" s="6">
        <f>tblDisplaySheet[[#This Row],[Level]]</f>
        <v>10</v>
      </c>
      <c r="C31" s="6">
        <f>tblDisplaySheet[[#This Row],[Sl.No]]</f>
        <v>29</v>
      </c>
      <c r="D31" s="6" t="str">
        <f>tblDisplaySheet[[#This Row],[Group]]</f>
        <v>Service Level - BD</v>
      </c>
      <c r="E31" s="6" t="str">
        <f>TEXT(tblInputSheet[[#This Row],[Sl.No]], "000")&amp; ":"&amp; tblInputSheet[[#This Row],[Process]]</f>
        <v>029:Medical Policy Mule Adapter</v>
      </c>
      <c r="F31" s="6" t="str">
        <f>IFERROR(IF(tblInputSheet[[#This Row],[Hosted Platform]] = "-", "", VLOOKUP(tblInputSheet[[#This Row],[Hosted Platform]], tblHosted_PlatformOwner[], 2,FALSE)), "")</f>
        <v>CC002</v>
      </c>
      <c r="G31" s="6" t="str">
        <f>IFERROR(IF(tblInputSheet[[#This Row],[Provider]] = "-", "", VLOOKUP(tblInputSheet[[#This Row],[Provider]], tblParticipants[], 2,FALSE)), "")</f>
        <v>PP001</v>
      </c>
      <c r="H31" s="6" t="str">
        <f>IFERROR(IF(tblInputSheet[[#This Row],[Consumer]] = "-", "", VLOOKUP(tblInputSheet[[#This Row],[Consumer]], tblParticipants[], 2,FALSE)), "")</f>
        <v>PP001</v>
      </c>
      <c r="I31" s="6" t="str">
        <f>IFERROR(IF(tblInputSheet[[#This Row],[Integration Pattern]] = "-", "", VLOOKUP(tblInputSheet[[#This Row],[Integration Pattern]], tblIntegrationPartten[], 2,FALSE)), "")</f>
        <v>IP003</v>
      </c>
      <c r="J31" s="6" t="str">
        <f>tblDisplaySheet[[#This Row],[Current State]]</f>
        <v>Y</v>
      </c>
      <c r="K31" s="6" t="str">
        <f>tblDisplaySheet[[#This Row],[Confidence Factor]]</f>
        <v>Low</v>
      </c>
      <c r="L31" s="6">
        <f>tblDisplaySheet[[#This Row],[Count of Invocations]]</f>
        <v>1</v>
      </c>
      <c r="M31" s="6">
        <f>tblDisplaySheet[[#This Row],[DB Calls (ms)]]</f>
        <v>0</v>
      </c>
      <c r="N31" s="6">
        <f>tblDisplaySheet[[#This Row],[Logic (ms)]]</f>
        <v>45</v>
      </c>
      <c r="O31" s="6">
        <f>tblDisplaySheet[[#This Row],[Rules (ms)]]</f>
        <v>0</v>
      </c>
      <c r="P31" s="6">
        <f>tblDisplaySheet[[#This Row],[Latency (ms)]]</f>
        <v>30</v>
      </c>
      <c r="Q31" s="6">
        <f>tblDisplaySheet[[#This Row],[Latency (ms)]]</f>
        <v>30</v>
      </c>
      <c r="R31" s="6">
        <f>tblDisplaySheet[[#This Row],[Total Process Path Length]]</f>
        <v>95</v>
      </c>
      <c r="S31" s="6">
        <f>tblDisplaySheet[[#This Row],[Total Process Time]]</f>
        <v>75</v>
      </c>
      <c r="T31" s="6">
        <f>tblDisplaySheet[[#This Row],[Total Process Path Length]]</f>
        <v>95</v>
      </c>
      <c r="U31" s="6">
        <f>tblDisplaySheet[[#This Row],[Total Process Path Length NFR]]</f>
        <v>105</v>
      </c>
      <c r="V31" s="6" t="str">
        <f>tblDisplaySheet[[#This Row],[Status]]</f>
        <v>On Target</v>
      </c>
      <c r="W31" s="6" t="str">
        <f>tblDisplaySheet[[#This Row],[Is Leaf?]]</f>
        <v>N</v>
      </c>
      <c r="X31" s="6" t="str">
        <f>tblDisplaySheet[[#This Row],[Owner]]</f>
        <v>Sankar</v>
      </c>
    </row>
    <row r="32" spans="1:24" x14ac:dyDescent="0.25">
      <c r="A32" s="6">
        <f>tblDisplaySheet[[#This Row],[Link]]</f>
        <v>29</v>
      </c>
      <c r="B32" s="6">
        <f>tblDisplaySheet[[#This Row],[Level]]</f>
        <v>11</v>
      </c>
      <c r="C32" s="6">
        <f>tblDisplaySheet[[#This Row],[Sl.No]]</f>
        <v>30</v>
      </c>
      <c r="D32" s="6" t="str">
        <f>tblDisplaySheet[[#This Row],[Group]]</f>
        <v>Service Level - BD</v>
      </c>
      <c r="E32" s="6" t="str">
        <f>TEXT(tblInputSheet[[#This Row],[Sl.No]], "000")&amp; ":"&amp; tblInputSheet[[#This Row],[Process]]</f>
        <v>030:Legacy Medical Policy Check</v>
      </c>
      <c r="F32" s="6" t="str">
        <f>IFERROR(IF(tblInputSheet[[#This Row],[Hosted Platform]] = "-", "", VLOOKUP(tblInputSheet[[#This Row],[Hosted Platform]], tblHosted_PlatformOwner[], 2,FALSE)), "")</f>
        <v>CC007</v>
      </c>
      <c r="G32" s="6" t="str">
        <f>IFERROR(IF(tblInputSheet[[#This Row],[Provider]] = "-", "", VLOOKUP(tblInputSheet[[#This Row],[Provider]], tblParticipants[], 2,FALSE)), "")</f>
        <v>PP010</v>
      </c>
      <c r="H32" s="6" t="str">
        <f>IFERROR(IF(tblInputSheet[[#This Row],[Consumer]] = "-", "", VLOOKUP(tblInputSheet[[#This Row],[Consumer]], tblParticipants[], 2,FALSE)), "")</f>
        <v>PP004</v>
      </c>
      <c r="I32" s="6" t="str">
        <f>IFERROR(IF(tblInputSheet[[#This Row],[Integration Pattern]] = "-", "", VLOOKUP(tblInputSheet[[#This Row],[Integration Pattern]], tblIntegrationPartten[], 2,FALSE)), "")</f>
        <v>IP010</v>
      </c>
      <c r="J32" s="6" t="str">
        <f>tblDisplaySheet[[#This Row],[Current State]]</f>
        <v>Y</v>
      </c>
      <c r="K32" s="6" t="str">
        <f>tblDisplaySheet[[#This Row],[Confidence Factor]]</f>
        <v>Low</v>
      </c>
      <c r="L32" s="6">
        <f>tblDisplaySheet[[#This Row],[Count of Invocations]]</f>
        <v>1</v>
      </c>
      <c r="M32" s="6">
        <f>tblDisplaySheet[[#This Row],[DB Calls (ms)]]</f>
        <v>0</v>
      </c>
      <c r="N32" s="6">
        <f>tblDisplaySheet[[#This Row],[Logic (ms)]]</f>
        <v>20</v>
      </c>
      <c r="O32" s="6">
        <f>tblDisplaySheet[[#This Row],[Rules (ms)]]</f>
        <v>0</v>
      </c>
      <c r="P32" s="6">
        <f>tblDisplaySheet[[#This Row],[Latency (ms)]]</f>
        <v>0</v>
      </c>
      <c r="Q32" s="6">
        <f>tblDisplaySheet[[#This Row],[Latency (ms)]]</f>
        <v>0</v>
      </c>
      <c r="R32" s="6">
        <f>tblDisplaySheet[[#This Row],[Total Process Path Length]]</f>
        <v>20</v>
      </c>
      <c r="S32" s="6">
        <f>tblDisplaySheet[[#This Row],[Total Process Time]]</f>
        <v>20</v>
      </c>
      <c r="T32" s="6">
        <f>tblDisplaySheet[[#This Row],[Total Process Path Length]]</f>
        <v>20</v>
      </c>
      <c r="U32" s="6">
        <f>tblDisplaySheet[[#This Row],[Total Process Path Length NFR]]</f>
        <v>30</v>
      </c>
      <c r="V32" s="6" t="str">
        <f>tblDisplaySheet[[#This Row],[Status]]</f>
        <v>On Target</v>
      </c>
      <c r="W32" s="6" t="str">
        <f>tblDisplaySheet[[#This Row],[Is Leaf?]]</f>
        <v>Y</v>
      </c>
      <c r="X32" s="6" t="str">
        <f>tblDisplaySheet[[#This Row],[Owner]]</f>
        <v>Sankar</v>
      </c>
    </row>
    <row r="33" spans="1:24" x14ac:dyDescent="0.25">
      <c r="A33" s="6">
        <f>tblDisplaySheet[[#This Row],[Link]]</f>
        <v>26</v>
      </c>
      <c r="B33" s="6">
        <f>tblDisplaySheet[[#This Row],[Level]]</f>
        <v>9</v>
      </c>
      <c r="C33" s="6">
        <f>tblDisplaySheet[[#This Row],[Sl.No]]</f>
        <v>31</v>
      </c>
      <c r="D33" s="6" t="str">
        <f>tblDisplaySheet[[#This Row],[Group]]</f>
        <v>Service Level - BD</v>
      </c>
      <c r="E33" s="6" t="str">
        <f>TEXT(tblInputSheet[[#This Row],[Sl.No]], "000")&amp; ":"&amp; tblInputSheet[[#This Row],[Process]]</f>
        <v>031:DME Event Validation Service</v>
      </c>
      <c r="F33" s="6" t="str">
        <f>IFERROR(IF(tblInputSheet[[#This Row],[Hosted Platform]] = "-", "", VLOOKUP(tblInputSheet[[#This Row],[Hosted Platform]], tblHosted_PlatformOwner[], 2,FALSE)), "")</f>
        <v>CC001</v>
      </c>
      <c r="G33" s="6" t="str">
        <f>IFERROR(IF(tblInputSheet[[#This Row],[Provider]] = "-", "", VLOOKUP(tblInputSheet[[#This Row],[Provider]], tblParticipants[], 2,FALSE)), "")</f>
        <v>PP001</v>
      </c>
      <c r="H33" s="6" t="str">
        <f>IFERROR(IF(tblInputSheet[[#This Row],[Consumer]] = "-", "", VLOOKUP(tblInputSheet[[#This Row],[Consumer]], tblParticipants[], 2,FALSE)), "")</f>
        <v>PP001</v>
      </c>
      <c r="I33" s="6" t="str">
        <f>IFERROR(IF(tblInputSheet[[#This Row],[Integration Pattern]] = "-", "", VLOOKUP(tblInputSheet[[#This Row],[Integration Pattern]], tblIntegrationPartten[], 2,FALSE)), "")</f>
        <v>IP001</v>
      </c>
      <c r="J33" s="6" t="str">
        <f>tblDisplaySheet[[#This Row],[Current State]]</f>
        <v>Y</v>
      </c>
      <c r="K33" s="6" t="str">
        <f>tblDisplaySheet[[#This Row],[Confidence Factor]]</f>
        <v>Medium</v>
      </c>
      <c r="L33" s="6">
        <f>tblDisplaySheet[[#This Row],[Count of Invocations]]</f>
        <v>0</v>
      </c>
      <c r="M33" s="6">
        <f>tblDisplaySheet[[#This Row],[DB Calls (ms)]]</f>
        <v>0</v>
      </c>
      <c r="N33" s="6">
        <f>tblDisplaySheet[[#This Row],[Logic (ms)]]</f>
        <v>20</v>
      </c>
      <c r="O33" s="6">
        <f>tblDisplaySheet[[#This Row],[Rules (ms)]]</f>
        <v>0</v>
      </c>
      <c r="P33" s="6">
        <f>tblDisplaySheet[[#This Row],[Latency (ms)]]</f>
        <v>15</v>
      </c>
      <c r="Q33" s="6">
        <f>tblDisplaySheet[[#This Row],[Latency (ms)]]</f>
        <v>15</v>
      </c>
      <c r="R33" s="6">
        <f>tblDisplaySheet[[#This Row],[Total Process Path Length]]</f>
        <v>0</v>
      </c>
      <c r="S33" s="6">
        <f>tblDisplaySheet[[#This Row],[Total Process Time]]</f>
        <v>0</v>
      </c>
      <c r="T33" s="6">
        <f>tblDisplaySheet[[#This Row],[Total Process Path Length]]</f>
        <v>0</v>
      </c>
      <c r="U33" s="6">
        <f>tblDisplaySheet[[#This Row],[Total Process Path Length NFR]]</f>
        <v>0</v>
      </c>
      <c r="V33" s="6" t="str">
        <f>tblDisplaySheet[[#This Row],[Status]]</f>
        <v>On Target</v>
      </c>
      <c r="W33" s="6" t="str">
        <f>tblDisplaySheet[[#This Row],[Is Leaf?]]</f>
        <v>Y</v>
      </c>
      <c r="X33" s="6" t="str">
        <f>tblDisplaySheet[[#This Row],[Owner]]</f>
        <v>Sankar</v>
      </c>
    </row>
    <row r="34" spans="1:24" x14ac:dyDescent="0.25">
      <c r="A34" s="6">
        <f>tblDisplaySheet[[#This Row],[Link]]</f>
        <v>26</v>
      </c>
      <c r="B34" s="6">
        <f>tblDisplaySheet[[#This Row],[Level]]</f>
        <v>9</v>
      </c>
      <c r="C34" s="6">
        <f>tblDisplaySheet[[#This Row],[Sl.No]]</f>
        <v>32</v>
      </c>
      <c r="D34" s="6" t="str">
        <f>tblDisplaySheet[[#This Row],[Group]]</f>
        <v>Service Level - BD</v>
      </c>
      <c r="E34" s="6" t="str">
        <f>TEXT(tblInputSheet[[#This Row],[Sl.No]], "000")&amp; ":"&amp; tblInputSheet[[#This Row],[Process]]</f>
        <v>032:NPI Crosswalk Service</v>
      </c>
      <c r="F34" s="6" t="str">
        <f>IFERROR(IF(tblInputSheet[[#This Row],[Hosted Platform]] = "-", "", VLOOKUP(tblInputSheet[[#This Row],[Hosted Platform]], tblHosted_PlatformOwner[], 2,FALSE)), "")</f>
        <v>CC007</v>
      </c>
      <c r="G34" s="6" t="str">
        <f>IFERROR(IF(tblInputSheet[[#This Row],[Provider]] = "-", "", VLOOKUP(tblInputSheet[[#This Row],[Provider]], tblParticipants[], 2,FALSE)), "")</f>
        <v>PP010</v>
      </c>
      <c r="H34" s="6" t="str">
        <f>IFERROR(IF(tblInputSheet[[#This Row],[Consumer]] = "-", "", VLOOKUP(tblInputSheet[[#This Row],[Consumer]], tblParticipants[], 2,FALSE)), "")</f>
        <v>PP001</v>
      </c>
      <c r="I34" s="6" t="str">
        <f>IFERROR(IF(tblInputSheet[[#This Row],[Integration Pattern]] = "-", "", VLOOKUP(tblInputSheet[[#This Row],[Integration Pattern]], tblIntegrationPartten[], 2,FALSE)), "")</f>
        <v>IP008</v>
      </c>
      <c r="J34" s="6" t="str">
        <f>tblDisplaySheet[[#This Row],[Current State]]</f>
        <v>Y</v>
      </c>
      <c r="K34" s="6" t="str">
        <f>tblDisplaySheet[[#This Row],[Confidence Factor]]</f>
        <v>Medium</v>
      </c>
      <c r="L34" s="6">
        <f>tblDisplaySheet[[#This Row],[Count of Invocations]]</f>
        <v>1</v>
      </c>
      <c r="M34" s="6">
        <f>tblDisplaySheet[[#This Row],[DB Calls (ms)]]</f>
        <v>1</v>
      </c>
      <c r="N34" s="6">
        <f>tblDisplaySheet[[#This Row],[Logic (ms)]]</f>
        <v>40</v>
      </c>
      <c r="O34" s="6">
        <f>tblDisplaySheet[[#This Row],[Rules (ms)]]</f>
        <v>0</v>
      </c>
      <c r="P34" s="6">
        <f>tblDisplaySheet[[#This Row],[Latency (ms)]]</f>
        <v>15</v>
      </c>
      <c r="Q34" s="6">
        <f>tblDisplaySheet[[#This Row],[Latency (ms)]]</f>
        <v>15</v>
      </c>
      <c r="R34" s="6">
        <f>tblDisplaySheet[[#This Row],[Total Process Path Length]]</f>
        <v>56</v>
      </c>
      <c r="S34" s="6">
        <f>tblDisplaySheet[[#This Row],[Total Process Time]]</f>
        <v>56</v>
      </c>
      <c r="T34" s="6">
        <f>tblDisplaySheet[[#This Row],[Total Process Path Length]]</f>
        <v>56</v>
      </c>
      <c r="U34" s="6">
        <f>tblDisplaySheet[[#This Row],[Total Process Path Length NFR]]</f>
        <v>65</v>
      </c>
      <c r="V34" s="6" t="str">
        <f>tblDisplaySheet[[#This Row],[Status]]</f>
        <v>On Target</v>
      </c>
      <c r="W34" s="6" t="str">
        <f>tblDisplaySheet[[#This Row],[Is Leaf?]]</f>
        <v>Y</v>
      </c>
      <c r="X34" s="6" t="str">
        <f>tblDisplaySheet[[#This Row],[Owner]]</f>
        <v>Sankar</v>
      </c>
    </row>
    <row r="35" spans="1:24" x14ac:dyDescent="0.25">
      <c r="A35" s="6">
        <f>tblDisplaySheet[[#This Row],[Link]]</f>
        <v>26</v>
      </c>
      <c r="B35" s="6">
        <f>tblDisplaySheet[[#This Row],[Level]]</f>
        <v>9</v>
      </c>
      <c r="C35" s="6">
        <f>tblDisplaySheet[[#This Row],[Sl.No]]</f>
        <v>33</v>
      </c>
      <c r="D35" s="6" t="str">
        <f>tblDisplaySheet[[#This Row],[Group]]</f>
        <v>Service Level - BD</v>
      </c>
      <c r="E35" s="6" t="str">
        <f>TEXT(tblInputSheet[[#This Row],[Sl.No]], "000")&amp; ":"&amp; tblInputSheet[[#This Row],[Process]]</f>
        <v>033:Claim Provider Service</v>
      </c>
      <c r="F35" s="6" t="str">
        <f>IFERROR(IF(tblInputSheet[[#This Row],[Hosted Platform]] = "-", "", VLOOKUP(tblInputSheet[[#This Row],[Hosted Platform]], tblHosted_PlatformOwner[], 2,FALSE)), "")</f>
        <v>CC001</v>
      </c>
      <c r="G35" s="6" t="str">
        <f>IFERROR(IF(tblInputSheet[[#This Row],[Provider]] = "-", "", VLOOKUP(tblInputSheet[[#This Row],[Provider]], tblParticipants[], 2,FALSE)), "")</f>
        <v>PP001</v>
      </c>
      <c r="H35" s="6" t="str">
        <f>IFERROR(IF(tblInputSheet[[#This Row],[Consumer]] = "-", "", VLOOKUP(tblInputSheet[[#This Row],[Consumer]], tblParticipants[], 2,FALSE)), "")</f>
        <v>PP001</v>
      </c>
      <c r="I35" s="6" t="str">
        <f>IFERROR(IF(tblInputSheet[[#This Row],[Integration Pattern]] = "-", "", VLOOKUP(tblInputSheet[[#This Row],[Integration Pattern]], tblIntegrationPartten[], 2,FALSE)), "")</f>
        <v>IP001</v>
      </c>
      <c r="J35" s="6" t="str">
        <f>tblDisplaySheet[[#This Row],[Current State]]</f>
        <v>Y</v>
      </c>
      <c r="K35" s="6" t="str">
        <f>tblDisplaySheet[[#This Row],[Confidence Factor]]</f>
        <v>Medium</v>
      </c>
      <c r="L35" s="6">
        <f>tblDisplaySheet[[#This Row],[Count of Invocations]]</f>
        <v>1</v>
      </c>
      <c r="M35" s="6">
        <f>tblDisplaySheet[[#This Row],[DB Calls (ms)]]</f>
        <v>1</v>
      </c>
      <c r="N35" s="6">
        <f>tblDisplaySheet[[#This Row],[Logic (ms)]]</f>
        <v>40</v>
      </c>
      <c r="O35" s="6">
        <f>tblDisplaySheet[[#This Row],[Rules (ms)]]</f>
        <v>0</v>
      </c>
      <c r="P35" s="6">
        <f>tblDisplaySheet[[#This Row],[Latency (ms)]]</f>
        <v>15</v>
      </c>
      <c r="Q35" s="6">
        <f>tblDisplaySheet[[#This Row],[Latency (ms)]]</f>
        <v>15</v>
      </c>
      <c r="R35" s="6">
        <f>tblDisplaySheet[[#This Row],[Total Process Path Length]]</f>
        <v>56</v>
      </c>
      <c r="S35" s="6">
        <f>tblDisplaySheet[[#This Row],[Total Process Time]]</f>
        <v>56</v>
      </c>
      <c r="T35" s="6">
        <f>tblDisplaySheet[[#This Row],[Total Process Path Length]]</f>
        <v>56</v>
      </c>
      <c r="U35" s="6">
        <f>tblDisplaySheet[[#This Row],[Total Process Path Length NFR]]</f>
        <v>65</v>
      </c>
      <c r="V35" s="6" t="str">
        <f>tblDisplaySheet[[#This Row],[Status]]</f>
        <v>On Target</v>
      </c>
      <c r="W35" s="6" t="str">
        <f>tblDisplaySheet[[#This Row],[Is Leaf?]]</f>
        <v>Y</v>
      </c>
      <c r="X35" s="6" t="str">
        <f>tblDisplaySheet[[#This Row],[Owner]]</f>
        <v>Sankar</v>
      </c>
    </row>
    <row r="36" spans="1:24" x14ac:dyDescent="0.25">
      <c r="A36" s="6">
        <f>tblDisplaySheet[[#This Row],[Link]]</f>
        <v>26</v>
      </c>
      <c r="B36" s="6">
        <f>tblDisplaySheet[[#This Row],[Level]]</f>
        <v>9</v>
      </c>
      <c r="C36" s="6">
        <f>tblDisplaySheet[[#This Row],[Sl.No]]</f>
        <v>34</v>
      </c>
      <c r="D36" s="6" t="str">
        <f>tblDisplaySheet[[#This Row],[Group]]</f>
        <v>Service Level - BD</v>
      </c>
      <c r="E36" s="6" t="str">
        <f>TEXT(tblInputSheet[[#This Row],[Sl.No]], "000")&amp; ":"&amp; tblInputSheet[[#This Row],[Process]]</f>
        <v>034:Claim Lookup Service(Claim History Service)</v>
      </c>
      <c r="F36" s="6" t="str">
        <f>IFERROR(IF(tblInputSheet[[#This Row],[Hosted Platform]] = "-", "", VLOOKUP(tblInputSheet[[#This Row],[Hosted Platform]], tblHosted_PlatformOwner[], 2,FALSE)), "")</f>
        <v>CC001</v>
      </c>
      <c r="G36" s="6" t="str">
        <f>IFERROR(IF(tblInputSheet[[#This Row],[Provider]] = "-", "", VLOOKUP(tblInputSheet[[#This Row],[Provider]], tblParticipants[], 2,FALSE)), "")</f>
        <v>PP001</v>
      </c>
      <c r="H36" s="6" t="str">
        <f>IFERROR(IF(tblInputSheet[[#This Row],[Consumer]] = "-", "", VLOOKUP(tblInputSheet[[#This Row],[Consumer]], tblParticipants[], 2,FALSE)), "")</f>
        <v>PP001</v>
      </c>
      <c r="I36" s="6" t="str">
        <f>IFERROR(IF(tblInputSheet[[#This Row],[Integration Pattern]] = "-", "", VLOOKUP(tblInputSheet[[#This Row],[Integration Pattern]], tblIntegrationPartten[], 2,FALSE)), "")</f>
        <v>IP001</v>
      </c>
      <c r="J36" s="6" t="str">
        <f>tblDisplaySheet[[#This Row],[Current State]]</f>
        <v>Y</v>
      </c>
      <c r="K36" s="6" t="str">
        <f>tblDisplaySheet[[#This Row],[Confidence Factor]]</f>
        <v>Medium</v>
      </c>
      <c r="L36" s="6">
        <f>tblDisplaySheet[[#This Row],[Count of Invocations]]</f>
        <v>1</v>
      </c>
      <c r="M36" s="6">
        <f>tblDisplaySheet[[#This Row],[DB Calls (ms)]]</f>
        <v>1</v>
      </c>
      <c r="N36" s="6">
        <f>tblDisplaySheet[[#This Row],[Logic (ms)]]</f>
        <v>55</v>
      </c>
      <c r="O36" s="6">
        <f>tblDisplaySheet[[#This Row],[Rules (ms)]]</f>
        <v>1</v>
      </c>
      <c r="P36" s="6">
        <f>tblDisplaySheet[[#This Row],[Latency (ms)]]</f>
        <v>15</v>
      </c>
      <c r="Q36" s="6">
        <f>tblDisplaySheet[[#This Row],[Latency (ms)]]</f>
        <v>15</v>
      </c>
      <c r="R36" s="6">
        <f>tblDisplaySheet[[#This Row],[Total Process Path Length]]</f>
        <v>72</v>
      </c>
      <c r="S36" s="6">
        <f>tblDisplaySheet[[#This Row],[Total Process Time]]</f>
        <v>72</v>
      </c>
      <c r="T36" s="6">
        <f>tblDisplaySheet[[#This Row],[Total Process Path Length]]</f>
        <v>72</v>
      </c>
      <c r="U36" s="6">
        <f>tblDisplaySheet[[#This Row],[Total Process Path Length NFR]]</f>
        <v>75</v>
      </c>
      <c r="V36" s="6" t="str">
        <f>tblDisplaySheet[[#This Row],[Status]]</f>
        <v>On Target</v>
      </c>
      <c r="W36" s="6" t="str">
        <f>tblDisplaySheet[[#This Row],[Is Leaf?]]</f>
        <v>Y</v>
      </c>
      <c r="X36" s="6" t="str">
        <f>tblDisplaySheet[[#This Row],[Owner]]</f>
        <v>Sankar</v>
      </c>
    </row>
    <row r="37" spans="1:24" x14ac:dyDescent="0.25">
      <c r="A37" s="6">
        <f>tblDisplaySheet[[#This Row],[Link]]</f>
        <v>26</v>
      </c>
      <c r="B37" s="6">
        <f>tblDisplaySheet[[#This Row],[Level]]</f>
        <v>9</v>
      </c>
      <c r="C37" s="6">
        <f>tblDisplaySheet[[#This Row],[Sl.No]]</f>
        <v>35</v>
      </c>
      <c r="D37" s="6" t="str">
        <f>tblDisplaySheet[[#This Row],[Group]]</f>
        <v>Service Level - BD</v>
      </c>
      <c r="E37" s="6" t="str">
        <f>TEXT(tblInputSheet[[#This Row],[Sl.No]], "000")&amp; ":"&amp; tblInputSheet[[#This Row],[Process]]</f>
        <v>035:Service Disposition &amp; Pre-Auth Service</v>
      </c>
      <c r="F37" s="6" t="str">
        <f>IFERROR(IF(tblInputSheet[[#This Row],[Hosted Platform]] = "-", "", VLOOKUP(tblInputSheet[[#This Row],[Hosted Platform]], tblHosted_PlatformOwner[], 2,FALSE)), "")</f>
        <v>CC001</v>
      </c>
      <c r="G37" s="6" t="str">
        <f>IFERROR(IF(tblInputSheet[[#This Row],[Provider]] = "-", "", VLOOKUP(tblInputSheet[[#This Row],[Provider]], tblParticipants[], 2,FALSE)), "")</f>
        <v>PP001</v>
      </c>
      <c r="H37" s="6" t="str">
        <f>IFERROR(IF(tblInputSheet[[#This Row],[Consumer]] = "-", "", VLOOKUP(tblInputSheet[[#This Row],[Consumer]], tblParticipants[], 2,FALSE)), "")</f>
        <v>PP001</v>
      </c>
      <c r="I37" s="6" t="str">
        <f>IFERROR(IF(tblInputSheet[[#This Row],[Integration Pattern]] = "-", "", VLOOKUP(tblInputSheet[[#This Row],[Integration Pattern]], tblIntegrationPartten[], 2,FALSE)), "")</f>
        <v>IP001</v>
      </c>
      <c r="J37" s="6" t="str">
        <f>tblDisplaySheet[[#This Row],[Current State]]</f>
        <v>Y</v>
      </c>
      <c r="K37" s="6" t="str">
        <f>tblDisplaySheet[[#This Row],[Confidence Factor]]</f>
        <v>Medium</v>
      </c>
      <c r="L37" s="6">
        <f>tblDisplaySheet[[#This Row],[Count of Invocations]]</f>
        <v>1</v>
      </c>
      <c r="M37" s="6">
        <f>tblDisplaySheet[[#This Row],[DB Calls (ms)]]</f>
        <v>1</v>
      </c>
      <c r="N37" s="6">
        <f>tblDisplaySheet[[#This Row],[Logic (ms)]]</f>
        <v>5</v>
      </c>
      <c r="O37" s="6">
        <f>tblDisplaySheet[[#This Row],[Rules (ms)]]</f>
        <v>0</v>
      </c>
      <c r="P37" s="6">
        <f>tblDisplaySheet[[#This Row],[Latency (ms)]]</f>
        <v>15</v>
      </c>
      <c r="Q37" s="6">
        <f>tblDisplaySheet[[#This Row],[Latency (ms)]]</f>
        <v>15</v>
      </c>
      <c r="R37" s="6">
        <f>tblDisplaySheet[[#This Row],[Total Process Path Length]]</f>
        <v>67</v>
      </c>
      <c r="S37" s="6">
        <f>tblDisplaySheet[[#This Row],[Total Process Time]]</f>
        <v>21</v>
      </c>
      <c r="T37" s="6">
        <f>tblDisplaySheet[[#This Row],[Total Process Path Length]]</f>
        <v>67</v>
      </c>
      <c r="U37" s="6">
        <f>tblDisplaySheet[[#This Row],[Total Process Path Length NFR]]</f>
        <v>70</v>
      </c>
      <c r="V37" s="6" t="str">
        <f>tblDisplaySheet[[#This Row],[Status]]</f>
        <v>On Target</v>
      </c>
      <c r="W37" s="6" t="str">
        <f>tblDisplaySheet[[#This Row],[Is Leaf?]]</f>
        <v>N</v>
      </c>
      <c r="X37" s="6" t="str">
        <f>tblDisplaySheet[[#This Row],[Owner]]</f>
        <v>Sankar</v>
      </c>
    </row>
    <row r="38" spans="1:24" x14ac:dyDescent="0.25">
      <c r="A38" s="6">
        <f>tblDisplaySheet[[#This Row],[Link]]</f>
        <v>35</v>
      </c>
      <c r="B38" s="6">
        <f>tblDisplaySheet[[#This Row],[Level]]</f>
        <v>10</v>
      </c>
      <c r="C38" s="6">
        <f>tblDisplaySheet[[#This Row],[Sl.No]]</f>
        <v>36</v>
      </c>
      <c r="D38" s="6" t="str">
        <f>tblDisplaySheet[[#This Row],[Group]]</f>
        <v>Service Level - BD</v>
      </c>
      <c r="E38" s="6" t="str">
        <f>TEXT(tblInputSheet[[#This Row],[Sl.No]], "000")&amp; ":"&amp; tblInputSheet[[#This Row],[Process]]</f>
        <v>036:Keystone PANS Service(Adj. Path)</v>
      </c>
      <c r="F38" s="6" t="str">
        <f>IFERROR(IF(tblInputSheet[[#This Row],[Hosted Platform]] = "-", "", VLOOKUP(tblInputSheet[[#This Row],[Hosted Platform]], tblHosted_PlatformOwner[], 2,FALSE)), "")</f>
        <v>CC001</v>
      </c>
      <c r="G38" s="6" t="str">
        <f>IFERROR(IF(tblInputSheet[[#This Row],[Provider]] = "-", "", VLOOKUP(tblInputSheet[[#This Row],[Provider]], tblParticipants[], 2,FALSE)), "")</f>
        <v>PP001</v>
      </c>
      <c r="H38" s="6" t="str">
        <f>IFERROR(IF(tblInputSheet[[#This Row],[Consumer]] = "-", "", VLOOKUP(tblInputSheet[[#This Row],[Consumer]], tblParticipants[], 2,FALSE)), "")</f>
        <v>PP001</v>
      </c>
      <c r="I38" s="6" t="str">
        <f>IFERROR(IF(tblInputSheet[[#This Row],[Integration Pattern]] = "-", "", VLOOKUP(tblInputSheet[[#This Row],[Integration Pattern]], tblIntegrationPartten[], 2,FALSE)), "")</f>
        <v>IP001</v>
      </c>
      <c r="J38" s="6" t="str">
        <f>tblDisplaySheet[[#This Row],[Current State]]</f>
        <v>Y</v>
      </c>
      <c r="K38" s="6" t="str">
        <f>tblDisplaySheet[[#This Row],[Confidence Factor]]</f>
        <v>Medium</v>
      </c>
      <c r="L38" s="6">
        <f>tblDisplaySheet[[#This Row],[Count of Invocations]]</f>
        <v>1</v>
      </c>
      <c r="M38" s="6">
        <f>tblDisplaySheet[[#This Row],[DB Calls (ms)]]</f>
        <v>1</v>
      </c>
      <c r="N38" s="6">
        <f>tblDisplaySheet[[#This Row],[Logic (ms)]]</f>
        <v>30</v>
      </c>
      <c r="O38" s="6">
        <f>tblDisplaySheet[[#This Row],[Rules (ms)]]</f>
        <v>0</v>
      </c>
      <c r="P38" s="6">
        <f>tblDisplaySheet[[#This Row],[Latency (ms)]]</f>
        <v>15</v>
      </c>
      <c r="Q38" s="6">
        <f>tblDisplaySheet[[#This Row],[Latency (ms)]]</f>
        <v>15</v>
      </c>
      <c r="R38" s="6">
        <f>tblDisplaySheet[[#This Row],[Total Process Path Length]]</f>
        <v>46</v>
      </c>
      <c r="S38" s="6">
        <f>tblDisplaySheet[[#This Row],[Total Process Time]]</f>
        <v>46</v>
      </c>
      <c r="T38" s="6">
        <f>tblDisplaySheet[[#This Row],[Total Process Path Length]]</f>
        <v>46</v>
      </c>
      <c r="U38" s="6">
        <f>tblDisplaySheet[[#This Row],[Total Process Path Length NFR]]</f>
        <v>50</v>
      </c>
      <c r="V38" s="6" t="str">
        <f>tblDisplaySheet[[#This Row],[Status]]</f>
        <v>On Target</v>
      </c>
      <c r="W38" s="6" t="str">
        <f>tblDisplaySheet[[#This Row],[Is Leaf?]]</f>
        <v>Y</v>
      </c>
      <c r="X38" s="6" t="str">
        <f>tblDisplaySheet[[#This Row],[Owner]]</f>
        <v>Sankar</v>
      </c>
    </row>
    <row r="39" spans="1:24" x14ac:dyDescent="0.25">
      <c r="A39" s="6">
        <f>tblDisplaySheet[[#This Row],[Link]]</f>
        <v>26</v>
      </c>
      <c r="B39" s="6">
        <f>tblDisplaySheet[[#This Row],[Level]]</f>
        <v>9</v>
      </c>
      <c r="C39" s="6">
        <f>tblDisplaySheet[[#This Row],[Sl.No]]</f>
        <v>37</v>
      </c>
      <c r="D39" s="6" t="str">
        <f>tblDisplaySheet[[#This Row],[Group]]</f>
        <v>Service Level - BD</v>
      </c>
      <c r="E39" s="6" t="str">
        <f>TEXT(tblInputSheet[[#This Row],[Sl.No]], "000")&amp; ":"&amp; tblInputSheet[[#This Row],[Process]]</f>
        <v>037:ARIS Mule Adapter</v>
      </c>
      <c r="F39" s="6" t="str">
        <f>IFERROR(IF(tblInputSheet[[#This Row],[Hosted Platform]] = "-", "", VLOOKUP(tblInputSheet[[#This Row],[Hosted Platform]], tblHosted_PlatformOwner[], 2,FALSE)), "")</f>
        <v>CC002</v>
      </c>
      <c r="G39" s="6" t="str">
        <f>IFERROR(IF(tblInputSheet[[#This Row],[Provider]] = "-", "", VLOOKUP(tblInputSheet[[#This Row],[Provider]], tblParticipants[], 2,FALSE)), "")</f>
        <v>PP001</v>
      </c>
      <c r="H39" s="6" t="str">
        <f>IFERROR(IF(tblInputSheet[[#This Row],[Consumer]] = "-", "", VLOOKUP(tblInputSheet[[#This Row],[Consumer]], tblParticipants[], 2,FALSE)), "")</f>
        <v>PP001</v>
      </c>
      <c r="I39" s="6" t="str">
        <f>IFERROR(IF(tblInputSheet[[#This Row],[Integration Pattern]] = "-", "", VLOOKUP(tblInputSheet[[#This Row],[Integration Pattern]], tblIntegrationPartten[], 2,FALSE)), "")</f>
        <v>IP003</v>
      </c>
      <c r="J39" s="6" t="str">
        <f>tblDisplaySheet[[#This Row],[Current State]]</f>
        <v>Y</v>
      </c>
      <c r="K39" s="6" t="str">
        <f>tblDisplaySheet[[#This Row],[Confidence Factor]]</f>
        <v>Low</v>
      </c>
      <c r="L39" s="6">
        <f>tblDisplaySheet[[#This Row],[Count of Invocations]]</f>
        <v>1</v>
      </c>
      <c r="M39" s="6">
        <f>tblDisplaySheet[[#This Row],[DB Calls (ms)]]</f>
        <v>0</v>
      </c>
      <c r="N39" s="6">
        <f>tblDisplaySheet[[#This Row],[Logic (ms)]]</f>
        <v>50</v>
      </c>
      <c r="O39" s="6">
        <f>tblDisplaySheet[[#This Row],[Rules (ms)]]</f>
        <v>0</v>
      </c>
      <c r="P39" s="6">
        <f>tblDisplaySheet[[#This Row],[Latency (ms)]]</f>
        <v>35</v>
      </c>
      <c r="Q39" s="6">
        <f>tblDisplaySheet[[#This Row],[Latency (ms)]]</f>
        <v>35</v>
      </c>
      <c r="R39" s="6">
        <f>tblDisplaySheet[[#This Row],[Total Process Path Length]]</f>
        <v>116</v>
      </c>
      <c r="S39" s="6">
        <f>tblDisplaySheet[[#This Row],[Total Process Time]]</f>
        <v>85</v>
      </c>
      <c r="T39" s="6">
        <f>tblDisplaySheet[[#This Row],[Total Process Path Length]]</f>
        <v>116</v>
      </c>
      <c r="U39" s="6">
        <f>tblDisplaySheet[[#This Row],[Total Process Path Length NFR]]</f>
        <v>120</v>
      </c>
      <c r="V39" s="6" t="str">
        <f>tblDisplaySheet[[#This Row],[Status]]</f>
        <v>On Target</v>
      </c>
      <c r="W39" s="6" t="str">
        <f>tblDisplaySheet[[#This Row],[Is Leaf?]]</f>
        <v>N</v>
      </c>
      <c r="X39" s="6" t="str">
        <f>tblDisplaySheet[[#This Row],[Owner]]</f>
        <v>Sankar</v>
      </c>
    </row>
    <row r="40" spans="1:24" x14ac:dyDescent="0.25">
      <c r="A40" s="6">
        <f>tblDisplaySheet[[#This Row],[Link]]</f>
        <v>37</v>
      </c>
      <c r="B40" s="6">
        <f>tblDisplaySheet[[#This Row],[Level]]</f>
        <v>10</v>
      </c>
      <c r="C40" s="6">
        <f>tblDisplaySheet[[#This Row],[Sl.No]]</f>
        <v>38</v>
      </c>
      <c r="D40" s="6" t="str">
        <f>tblDisplaySheet[[#This Row],[Group]]</f>
        <v>Service Level - BD</v>
      </c>
      <c r="E40" s="6" t="str">
        <f>TEXT(tblInputSheet[[#This Row],[Sl.No]], "000")&amp; ":"&amp; tblInputSheet[[#This Row],[Process]]</f>
        <v>038:ARIS Module</v>
      </c>
      <c r="F40" s="6" t="str">
        <f>IFERROR(IF(tblInputSheet[[#This Row],[Hosted Platform]] = "-", "", VLOOKUP(tblInputSheet[[#This Row],[Hosted Platform]], tblHosted_PlatformOwner[], 2,FALSE)), "")</f>
        <v>CC007</v>
      </c>
      <c r="G40" s="6" t="str">
        <f>IFERROR(IF(tblInputSheet[[#This Row],[Provider]] = "-", "", VLOOKUP(tblInputSheet[[#This Row],[Provider]], tblParticipants[], 2,FALSE)), "")</f>
        <v>PP009</v>
      </c>
      <c r="H40" s="6" t="str">
        <f>IFERROR(IF(tblInputSheet[[#This Row],[Consumer]] = "-", "", VLOOKUP(tblInputSheet[[#This Row],[Consumer]], tblParticipants[], 2,FALSE)), "")</f>
        <v>PP001</v>
      </c>
      <c r="I40" s="6" t="str">
        <f>IFERROR(IF(tblInputSheet[[#This Row],[Integration Pattern]] = "-", "", VLOOKUP(tblInputSheet[[#This Row],[Integration Pattern]], tblIntegrationPartten[], 2,FALSE)), "")</f>
        <v>IP010</v>
      </c>
      <c r="J40" s="6" t="str">
        <f>tblDisplaySheet[[#This Row],[Current State]]</f>
        <v>Y</v>
      </c>
      <c r="K40" s="6" t="str">
        <f>tblDisplaySheet[[#This Row],[Confidence Factor]]</f>
        <v>Medium</v>
      </c>
      <c r="L40" s="6">
        <f>tblDisplaySheet[[#This Row],[Count of Invocations]]</f>
        <v>1</v>
      </c>
      <c r="M40" s="6">
        <f>tblDisplaySheet[[#This Row],[DB Calls (ms)]]</f>
        <v>1</v>
      </c>
      <c r="N40" s="6">
        <f>tblDisplaySheet[[#This Row],[Logic (ms)]]</f>
        <v>15</v>
      </c>
      <c r="O40" s="6">
        <f>tblDisplaySheet[[#This Row],[Rules (ms)]]</f>
        <v>0</v>
      </c>
      <c r="P40" s="6">
        <f>tblDisplaySheet[[#This Row],[Latency (ms)]]</f>
        <v>15</v>
      </c>
      <c r="Q40" s="6">
        <f>tblDisplaySheet[[#This Row],[Latency (ms)]]</f>
        <v>15</v>
      </c>
      <c r="R40" s="6">
        <f>tblDisplaySheet[[#This Row],[Total Process Path Length]]</f>
        <v>31</v>
      </c>
      <c r="S40" s="6">
        <f>tblDisplaySheet[[#This Row],[Total Process Time]]</f>
        <v>31</v>
      </c>
      <c r="T40" s="6">
        <f>tblDisplaySheet[[#This Row],[Total Process Path Length]]</f>
        <v>31</v>
      </c>
      <c r="U40" s="6">
        <f>tblDisplaySheet[[#This Row],[Total Process Path Length NFR]]</f>
        <v>35</v>
      </c>
      <c r="V40" s="6" t="str">
        <f>tblDisplaySheet[[#This Row],[Status]]</f>
        <v>On Target</v>
      </c>
      <c r="W40" s="6" t="str">
        <f>tblDisplaySheet[[#This Row],[Is Leaf?]]</f>
        <v>Y</v>
      </c>
      <c r="X40" s="6" t="str">
        <f>tblDisplaySheet[[#This Row],[Owner]]</f>
        <v>Sankar</v>
      </c>
    </row>
    <row r="41" spans="1:24" x14ac:dyDescent="0.25">
      <c r="A41" s="6">
        <f>tblDisplaySheet[[#This Row],[Link]]</f>
        <v>26</v>
      </c>
      <c r="B41" s="6">
        <f>tblDisplaySheet[[#This Row],[Level]]</f>
        <v>9</v>
      </c>
      <c r="C41" s="6">
        <f>tblDisplaySheet[[#This Row],[Sl.No]]</f>
        <v>39</v>
      </c>
      <c r="D41" s="6" t="str">
        <f>tblDisplaySheet[[#This Row],[Group]]</f>
        <v>Service Level - BD</v>
      </c>
      <c r="E41" s="6" t="str">
        <f>TEXT(tblInputSheet[[#This Row],[Sl.No]], "000")&amp; ":"&amp; tblInputSheet[[#This Row],[Process]]</f>
        <v>039:Service Eligibility &amp; PreAuth Rules Service</v>
      </c>
      <c r="F41" s="6" t="str">
        <f>IFERROR(IF(tblInputSheet[[#This Row],[Hosted Platform]] = "-", "", VLOOKUP(tblInputSheet[[#This Row],[Hosted Platform]], tblHosted_PlatformOwner[], 2,FALSE)), "")</f>
        <v>CC001</v>
      </c>
      <c r="G41" s="6" t="str">
        <f>IFERROR(IF(tblInputSheet[[#This Row],[Provider]] = "-", "", VLOOKUP(tblInputSheet[[#This Row],[Provider]], tblParticipants[], 2,FALSE)), "")</f>
        <v>PP001</v>
      </c>
      <c r="H41" s="6" t="str">
        <f>IFERROR(IF(tblInputSheet[[#This Row],[Consumer]] = "-", "", VLOOKUP(tblInputSheet[[#This Row],[Consumer]], tblParticipants[], 2,FALSE)), "")</f>
        <v>PP001</v>
      </c>
      <c r="I41" s="6" t="str">
        <f>IFERROR(IF(tblInputSheet[[#This Row],[Integration Pattern]] = "-", "", VLOOKUP(tblInputSheet[[#This Row],[Integration Pattern]], tblIntegrationPartten[], 2,FALSE)), "")</f>
        <v>IP001</v>
      </c>
      <c r="J41" s="6" t="str">
        <f>tblDisplaySheet[[#This Row],[Current State]]</f>
        <v>Y</v>
      </c>
      <c r="K41" s="6" t="str">
        <f>tblDisplaySheet[[#This Row],[Confidence Factor]]</f>
        <v>Medium</v>
      </c>
      <c r="L41" s="6">
        <f>tblDisplaySheet[[#This Row],[Count of Invocations]]</f>
        <v>1</v>
      </c>
      <c r="M41" s="6">
        <f>tblDisplaySheet[[#This Row],[DB Calls (ms)]]</f>
        <v>1</v>
      </c>
      <c r="N41" s="6">
        <f>tblDisplaySheet[[#This Row],[Logic (ms)]]</f>
        <v>80</v>
      </c>
      <c r="O41" s="6">
        <f>tblDisplaySheet[[#This Row],[Rules (ms)]]</f>
        <v>0</v>
      </c>
      <c r="P41" s="6">
        <f>tblDisplaySheet[[#This Row],[Latency (ms)]]</f>
        <v>5</v>
      </c>
      <c r="Q41" s="6">
        <f>tblDisplaySheet[[#This Row],[Latency (ms)]]</f>
        <v>5</v>
      </c>
      <c r="R41" s="6">
        <f>tblDisplaySheet[[#This Row],[Total Process Path Length]]</f>
        <v>195</v>
      </c>
      <c r="S41" s="6">
        <f>tblDisplaySheet[[#This Row],[Total Process Time]]</f>
        <v>86</v>
      </c>
      <c r="T41" s="6">
        <f>tblDisplaySheet[[#This Row],[Total Process Path Length]]</f>
        <v>195</v>
      </c>
      <c r="U41" s="6">
        <f>tblDisplaySheet[[#This Row],[Total Process Path Length NFR]]</f>
        <v>240</v>
      </c>
      <c r="V41" s="6" t="str">
        <f>tblDisplaySheet[[#This Row],[Status]]</f>
        <v>On Target</v>
      </c>
      <c r="W41" s="6" t="str">
        <f>tblDisplaySheet[[#This Row],[Is Leaf?]]</f>
        <v>N</v>
      </c>
      <c r="X41" s="6" t="str">
        <f>tblDisplaySheet[[#This Row],[Owner]]</f>
        <v>Sankar</v>
      </c>
    </row>
    <row r="42" spans="1:24" x14ac:dyDescent="0.25">
      <c r="A42" s="6">
        <f>tblDisplaySheet[[#This Row],[Link]]</f>
        <v>39</v>
      </c>
      <c r="B42" s="6">
        <f>tblDisplaySheet[[#This Row],[Level]]</f>
        <v>10</v>
      </c>
      <c r="C42" s="6">
        <f>tblDisplaySheet[[#This Row],[Sl.No]]</f>
        <v>40</v>
      </c>
      <c r="D42" s="6" t="str">
        <f>tblDisplaySheet[[#This Row],[Group]]</f>
        <v>Service Level - BD</v>
      </c>
      <c r="E42" s="6" t="str">
        <f>TEXT(tblInputSheet[[#This Row],[Sl.No]], "000")&amp; ":"&amp; tblInputSheet[[#This Row],[Process]]</f>
        <v>040:Service Category Determination Service</v>
      </c>
      <c r="F42" s="6" t="str">
        <f>IFERROR(IF(tblInputSheet[[#This Row],[Hosted Platform]] = "-", "", VLOOKUP(tblInputSheet[[#This Row],[Hosted Platform]], tblHosted_PlatformOwner[], 2,FALSE)), "")</f>
        <v>CC001</v>
      </c>
      <c r="G42" s="6" t="str">
        <f>IFERROR(IF(tblInputSheet[[#This Row],[Provider]] = "-", "", VLOOKUP(tblInputSheet[[#This Row],[Provider]], tblParticipants[], 2,FALSE)), "")</f>
        <v>PP001</v>
      </c>
      <c r="H42" s="6" t="str">
        <f>IFERROR(IF(tblInputSheet[[#This Row],[Consumer]] = "-", "", VLOOKUP(tblInputSheet[[#This Row],[Consumer]], tblParticipants[], 2,FALSE)), "")</f>
        <v>PP001</v>
      </c>
      <c r="I42" s="6" t="str">
        <f>IFERROR(IF(tblInputSheet[[#This Row],[Integration Pattern]] = "-", "", VLOOKUP(tblInputSheet[[#This Row],[Integration Pattern]], tblIntegrationPartten[], 2,FALSE)), "")</f>
        <v>IP001</v>
      </c>
      <c r="J42" s="6" t="str">
        <f>tblDisplaySheet[[#This Row],[Current State]]</f>
        <v>Y</v>
      </c>
      <c r="K42" s="6" t="str">
        <f>tblDisplaySheet[[#This Row],[Confidence Factor]]</f>
        <v>Medium</v>
      </c>
      <c r="L42" s="6">
        <f>tblDisplaySheet[[#This Row],[Count of Invocations]]</f>
        <v>1</v>
      </c>
      <c r="M42" s="6">
        <f>tblDisplaySheet[[#This Row],[DB Calls (ms)]]</f>
        <v>1</v>
      </c>
      <c r="N42" s="6">
        <f>tblDisplaySheet[[#This Row],[Logic (ms)]]</f>
        <v>40</v>
      </c>
      <c r="O42" s="6">
        <f>tblDisplaySheet[[#This Row],[Rules (ms)]]</f>
        <v>0</v>
      </c>
      <c r="P42" s="6">
        <f>tblDisplaySheet[[#This Row],[Latency (ms)]]</f>
        <v>5</v>
      </c>
      <c r="Q42" s="6">
        <f>tblDisplaySheet[[#This Row],[Latency (ms)]]</f>
        <v>5</v>
      </c>
      <c r="R42" s="6">
        <f>tblDisplaySheet[[#This Row],[Total Process Path Length]]</f>
        <v>46</v>
      </c>
      <c r="S42" s="6">
        <f>tblDisplaySheet[[#This Row],[Total Process Time]]</f>
        <v>46</v>
      </c>
      <c r="T42" s="6">
        <f>tblDisplaySheet[[#This Row],[Total Process Path Length]]</f>
        <v>46</v>
      </c>
      <c r="U42" s="6">
        <f>tblDisplaySheet[[#This Row],[Total Process Path Length NFR]]</f>
        <v>50</v>
      </c>
      <c r="V42" s="6" t="str">
        <f>tblDisplaySheet[[#This Row],[Status]]</f>
        <v>On Target</v>
      </c>
      <c r="W42" s="6" t="str">
        <f>tblDisplaySheet[[#This Row],[Is Leaf?]]</f>
        <v>N</v>
      </c>
      <c r="X42" s="6" t="str">
        <f>tblDisplaySheet[[#This Row],[Owner]]</f>
        <v>Sankar</v>
      </c>
    </row>
    <row r="43" spans="1:24" x14ac:dyDescent="0.25">
      <c r="A43" s="6">
        <f>tblDisplaySheet[[#This Row],[Link]]</f>
        <v>39</v>
      </c>
      <c r="B43" s="6">
        <f>tblDisplaySheet[[#This Row],[Level]]</f>
        <v>10</v>
      </c>
      <c r="C43" s="6">
        <f>tblDisplaySheet[[#This Row],[Sl.No]]</f>
        <v>41</v>
      </c>
      <c r="D43" s="6" t="str">
        <f>tblDisplaySheet[[#This Row],[Group]]</f>
        <v>Service Level - BD</v>
      </c>
      <c r="E43" s="6" t="str">
        <f>TEXT(tblInputSheet[[#This Row],[Sl.No]], "000")&amp; ":"&amp; tblInputSheet[[#This Row],[Process]]</f>
        <v>041:Premier Bits API</v>
      </c>
      <c r="F43" s="6" t="str">
        <f>IFERROR(IF(tblInputSheet[[#This Row],[Hosted Platform]] = "-", "", VLOOKUP(tblInputSheet[[#This Row],[Hosted Platform]], tblHosted_PlatformOwner[], 2,FALSE)), "")</f>
        <v>CC007</v>
      </c>
      <c r="G43" s="6" t="str">
        <f>IFERROR(IF(tblInputSheet[[#This Row],[Provider]] = "-", "", VLOOKUP(tblInputSheet[[#This Row],[Provider]], tblParticipants[], 2,FALSE)), "")</f>
        <v>PP010</v>
      </c>
      <c r="H43" s="6" t="str">
        <f>IFERROR(IF(tblInputSheet[[#This Row],[Consumer]] = "-", "", VLOOKUP(tblInputSheet[[#This Row],[Consumer]], tblParticipants[], 2,FALSE)), "")</f>
        <v>PP001</v>
      </c>
      <c r="I43" s="6" t="str">
        <f>IFERROR(IF(tblInputSheet[[#This Row],[Integration Pattern]] = "-", "", VLOOKUP(tblInputSheet[[#This Row],[Integration Pattern]], tblIntegrationPartten[], 2,FALSE)), "")</f>
        <v>IP007</v>
      </c>
      <c r="J43" s="6" t="str">
        <f>tblDisplaySheet[[#This Row],[Current State]]</f>
        <v>Y</v>
      </c>
      <c r="K43" s="6" t="str">
        <f>tblDisplaySheet[[#This Row],[Confidence Factor]]</f>
        <v>Medium</v>
      </c>
      <c r="L43" s="6">
        <f>tblDisplaySheet[[#This Row],[Count of Invocations]]</f>
        <v>1</v>
      </c>
      <c r="M43" s="6">
        <f>tblDisplaySheet[[#This Row],[DB Calls (ms)]]</f>
        <v>1</v>
      </c>
      <c r="N43" s="6">
        <f>tblDisplaySheet[[#This Row],[Logic (ms)]]</f>
        <v>1</v>
      </c>
      <c r="O43" s="6">
        <f>tblDisplaySheet[[#This Row],[Rules (ms)]]</f>
        <v>0</v>
      </c>
      <c r="P43" s="6">
        <f>tblDisplaySheet[[#This Row],[Latency (ms)]]</f>
        <v>15</v>
      </c>
      <c r="Q43" s="6">
        <f>tblDisplaySheet[[#This Row],[Latency (ms)]]</f>
        <v>15</v>
      </c>
      <c r="R43" s="6">
        <f>tblDisplaySheet[[#This Row],[Total Process Path Length]]</f>
        <v>17</v>
      </c>
      <c r="S43" s="6">
        <f>tblDisplaySheet[[#This Row],[Total Process Time]]</f>
        <v>17</v>
      </c>
      <c r="T43" s="6">
        <f>tblDisplaySheet[[#This Row],[Total Process Path Length]]</f>
        <v>17</v>
      </c>
      <c r="U43" s="6">
        <f>tblDisplaySheet[[#This Row],[Total Process Path Length NFR]]</f>
        <v>30</v>
      </c>
      <c r="V43" s="6" t="str">
        <f>tblDisplaySheet[[#This Row],[Status]]</f>
        <v>On Target</v>
      </c>
      <c r="W43" s="6" t="str">
        <f>tblDisplaySheet[[#This Row],[Is Leaf?]]</f>
        <v>Y</v>
      </c>
      <c r="X43" s="6" t="str">
        <f>tblDisplaySheet[[#This Row],[Owner]]</f>
        <v>Sankar</v>
      </c>
    </row>
    <row r="44" spans="1:24" x14ac:dyDescent="0.25">
      <c r="A44" s="6">
        <f>tblDisplaySheet[[#This Row],[Link]]</f>
        <v>39</v>
      </c>
      <c r="B44" s="6">
        <f>tblDisplaySheet[[#This Row],[Level]]</f>
        <v>10</v>
      </c>
      <c r="C44" s="6">
        <f>tblDisplaySheet[[#This Row],[Sl.No]]</f>
        <v>42</v>
      </c>
      <c r="D44" s="6" t="str">
        <f>tblDisplaySheet[[#This Row],[Group]]</f>
        <v>Service Level - BD</v>
      </c>
      <c r="E44" s="6" t="str">
        <f>TEXT(tblInputSheet[[#This Row],[Sl.No]], "000")&amp; ":"&amp; tblInputSheet[[#This Row],[Process]]</f>
        <v>042:Service Category to Benefit Provision</v>
      </c>
      <c r="F44" s="6" t="str">
        <f>IFERROR(IF(tblInputSheet[[#This Row],[Hosted Platform]] = "-", "", VLOOKUP(tblInputSheet[[#This Row],[Hosted Platform]], tblHosted_PlatformOwner[], 2,FALSE)), "")</f>
        <v>CC001</v>
      </c>
      <c r="G44" s="6" t="str">
        <f>IFERROR(IF(tblInputSheet[[#This Row],[Provider]] = "-", "", VLOOKUP(tblInputSheet[[#This Row],[Provider]], tblParticipants[], 2,FALSE)), "")</f>
        <v>PP001</v>
      </c>
      <c r="H44" s="6" t="str">
        <f>IFERROR(IF(tblInputSheet[[#This Row],[Consumer]] = "-", "", VLOOKUP(tblInputSheet[[#This Row],[Consumer]], tblParticipants[], 2,FALSE)), "")</f>
        <v>PP001</v>
      </c>
      <c r="I44" s="6" t="str">
        <f>IFERROR(IF(tblInputSheet[[#This Row],[Integration Pattern]] = "-", "", VLOOKUP(tblInputSheet[[#This Row],[Integration Pattern]], tblIntegrationPartten[], 2,FALSE)), "")</f>
        <v>IP001</v>
      </c>
      <c r="J44" s="6" t="str">
        <f>tblDisplaySheet[[#This Row],[Current State]]</f>
        <v>Y</v>
      </c>
      <c r="K44" s="6" t="str">
        <f>tblDisplaySheet[[#This Row],[Confidence Factor]]</f>
        <v>Medium</v>
      </c>
      <c r="L44" s="6">
        <f>tblDisplaySheet[[#This Row],[Count of Invocations]]</f>
        <v>1</v>
      </c>
      <c r="M44" s="6">
        <f>tblDisplaySheet[[#This Row],[DB Calls (ms)]]</f>
        <v>1</v>
      </c>
      <c r="N44" s="6">
        <f>tblDisplaySheet[[#This Row],[Logic (ms)]]</f>
        <v>10</v>
      </c>
      <c r="O44" s="6">
        <f>tblDisplaySheet[[#This Row],[Rules (ms)]]</f>
        <v>0</v>
      </c>
      <c r="P44" s="6">
        <f>tblDisplaySheet[[#This Row],[Latency (ms)]]</f>
        <v>10</v>
      </c>
      <c r="Q44" s="6">
        <f>tblDisplaySheet[[#This Row],[Latency (ms)]]</f>
        <v>10</v>
      </c>
      <c r="R44" s="6">
        <f>tblDisplaySheet[[#This Row],[Total Process Path Length]]</f>
        <v>21</v>
      </c>
      <c r="S44" s="6">
        <f>tblDisplaySheet[[#This Row],[Total Process Time]]</f>
        <v>21</v>
      </c>
      <c r="T44" s="6">
        <f>tblDisplaySheet[[#This Row],[Total Process Path Length]]</f>
        <v>21</v>
      </c>
      <c r="U44" s="6">
        <f>tblDisplaySheet[[#This Row],[Total Process Path Length NFR]]</f>
        <v>30</v>
      </c>
      <c r="V44" s="6" t="str">
        <f>tblDisplaySheet[[#This Row],[Status]]</f>
        <v>On Target</v>
      </c>
      <c r="W44" s="6" t="str">
        <f>tblDisplaySheet[[#This Row],[Is Leaf?]]</f>
        <v>Y</v>
      </c>
      <c r="X44" s="6" t="str">
        <f>tblDisplaySheet[[#This Row],[Owner]]</f>
        <v>Sankar</v>
      </c>
    </row>
    <row r="45" spans="1:24" x14ac:dyDescent="0.25">
      <c r="A45" s="6">
        <f>tblDisplaySheet[[#This Row],[Link]]</f>
        <v>39</v>
      </c>
      <c r="B45" s="6">
        <f>tblDisplaySheet[[#This Row],[Level]]</f>
        <v>10</v>
      </c>
      <c r="C45" s="6">
        <f>tblDisplaySheet[[#This Row],[Sl.No]]</f>
        <v>43</v>
      </c>
      <c r="D45" s="6" t="str">
        <f>tblDisplaySheet[[#This Row],[Group]]</f>
        <v>Service Level - BD</v>
      </c>
      <c r="E45" s="6" t="str">
        <f>TEXT(tblInputSheet[[#This Row],[Sl.No]], "000")&amp; ":"&amp; tblInputSheet[[#This Row],[Process]]</f>
        <v>043:PNDS Service</v>
      </c>
      <c r="F45" s="6" t="str">
        <f>IFERROR(IF(tblInputSheet[[#This Row],[Hosted Platform]] = "-", "", VLOOKUP(tblInputSheet[[#This Row],[Hosted Platform]], tblHosted_PlatformOwner[], 2,FALSE)), "")</f>
        <v>CC001</v>
      </c>
      <c r="G45" s="6" t="str">
        <f>IFERROR(IF(tblInputSheet[[#This Row],[Provider]] = "-", "", VLOOKUP(tblInputSheet[[#This Row],[Provider]], tblParticipants[], 2,FALSE)), "")</f>
        <v>PP001</v>
      </c>
      <c r="H45" s="6" t="str">
        <f>IFERROR(IF(tblInputSheet[[#This Row],[Consumer]] = "-", "", VLOOKUP(tblInputSheet[[#This Row],[Consumer]], tblParticipants[], 2,FALSE)), "")</f>
        <v>PP001</v>
      </c>
      <c r="I45" s="6" t="str">
        <f>IFERROR(IF(tblInputSheet[[#This Row],[Integration Pattern]] = "-", "", VLOOKUP(tblInputSheet[[#This Row],[Integration Pattern]], tblIntegrationPartten[], 2,FALSE)), "")</f>
        <v>IP001</v>
      </c>
      <c r="J45" s="6" t="str">
        <f>tblDisplaySheet[[#This Row],[Current State]]</f>
        <v>Y</v>
      </c>
      <c r="K45" s="6" t="str">
        <f>tblDisplaySheet[[#This Row],[Confidence Factor]]</f>
        <v>Medium</v>
      </c>
      <c r="L45" s="6">
        <f>tblDisplaySheet[[#This Row],[Count of Invocations]]</f>
        <v>1</v>
      </c>
      <c r="M45" s="6">
        <f>tblDisplaySheet[[#This Row],[DB Calls (ms)]]</f>
        <v>0</v>
      </c>
      <c r="N45" s="6">
        <f>tblDisplaySheet[[#This Row],[Logic (ms)]]</f>
        <v>20</v>
      </c>
      <c r="O45" s="6">
        <f>tblDisplaySheet[[#This Row],[Rules (ms)]]</f>
        <v>0</v>
      </c>
      <c r="P45" s="6">
        <f>tblDisplaySheet[[#This Row],[Latency (ms)]]</f>
        <v>5</v>
      </c>
      <c r="Q45" s="6">
        <f>tblDisplaySheet[[#This Row],[Latency (ms)]]</f>
        <v>5</v>
      </c>
      <c r="R45" s="6">
        <f>tblDisplaySheet[[#This Row],[Total Process Path Length]]</f>
        <v>25</v>
      </c>
      <c r="S45" s="6">
        <f>tblDisplaySheet[[#This Row],[Total Process Time]]</f>
        <v>25</v>
      </c>
      <c r="T45" s="6">
        <f>tblDisplaySheet[[#This Row],[Total Process Path Length]]</f>
        <v>25</v>
      </c>
      <c r="U45" s="6">
        <f>tblDisplaySheet[[#This Row],[Total Process Path Length NFR]]</f>
        <v>30</v>
      </c>
      <c r="V45" s="6" t="str">
        <f>tblDisplaySheet[[#This Row],[Status]]</f>
        <v>On Target</v>
      </c>
      <c r="W45" s="6" t="str">
        <f>tblDisplaySheet[[#This Row],[Is Leaf?]]</f>
        <v>Y</v>
      </c>
      <c r="X45" s="6" t="str">
        <f>tblDisplaySheet[[#This Row],[Owner]]</f>
        <v>Sankar</v>
      </c>
    </row>
    <row r="46" spans="1:24" x14ac:dyDescent="0.25">
      <c r="A46" s="6">
        <f>tblDisplaySheet[[#This Row],[Link]]</f>
        <v>24</v>
      </c>
      <c r="B46" s="6">
        <f>tblDisplaySheet[[#This Row],[Level]]</f>
        <v>7</v>
      </c>
      <c r="C46" s="6">
        <f>tblDisplaySheet[[#This Row],[Sl.No]]</f>
        <v>44</v>
      </c>
      <c r="D46" s="6" t="str">
        <f>tblDisplaySheet[[#This Row],[Group]]</f>
        <v>Service Level - Medicare</v>
      </c>
      <c r="E46" s="6" t="str">
        <f>TEXT(tblInputSheet[[#This Row],[Sl.No]], "000")&amp; ":"&amp; tblInputSheet[[#This Row],[Process]]</f>
        <v>044:Medicare</v>
      </c>
      <c r="F46" s="6" t="str">
        <f>IFERROR(IF(tblInputSheet[[#This Row],[Hosted Platform]] = "-", "", VLOOKUP(tblInputSheet[[#This Row],[Hosted Platform]], tblHosted_PlatformOwner[], 2,FALSE)), "")</f>
        <v>CC000</v>
      </c>
      <c r="G46" s="6" t="str">
        <f>IFERROR(IF(tblInputSheet[[#This Row],[Provider]] = "-", "", VLOOKUP(tblInputSheet[[#This Row],[Provider]], tblParticipants[], 2,FALSE)), "")</f>
        <v>PP000</v>
      </c>
      <c r="H46" s="6" t="str">
        <f>IFERROR(IF(tblInputSheet[[#This Row],[Consumer]] = "-", "", VLOOKUP(tblInputSheet[[#This Row],[Consumer]], tblParticipants[], 2,FALSE)), "")</f>
        <v>PP000</v>
      </c>
      <c r="I46" s="6" t="str">
        <f>IFERROR(IF(tblInputSheet[[#This Row],[Integration Pattern]] = "-", "", VLOOKUP(tblInputSheet[[#This Row],[Integration Pattern]], tblIntegrationPartten[], 2,FALSE)), "")</f>
        <v>IP000</v>
      </c>
      <c r="J46" s="6" t="str">
        <f>tblDisplaySheet[[#This Row],[Current State]]</f>
        <v>Y</v>
      </c>
      <c r="K46" s="6" t="str">
        <f>tblDisplaySheet[[#This Row],[Confidence Factor]]</f>
        <v>Medium</v>
      </c>
      <c r="L46" s="6">
        <f>tblDisplaySheet[[#This Row],[Count of Invocations]]</f>
        <v>1</v>
      </c>
      <c r="M46" s="6">
        <f>tblDisplaySheet[[#This Row],[DB Calls (ms)]]</f>
        <v>0</v>
      </c>
      <c r="N46" s="6">
        <f>tblDisplaySheet[[#This Row],[Logic (ms)]]</f>
        <v>0</v>
      </c>
      <c r="O46" s="6">
        <f>tblDisplaySheet[[#This Row],[Rules (ms)]]</f>
        <v>0</v>
      </c>
      <c r="P46" s="6">
        <f>tblDisplaySheet[[#This Row],[Latency (ms)]]</f>
        <v>0</v>
      </c>
      <c r="Q46" s="6">
        <f>tblDisplaySheet[[#This Row],[Latency (ms)]]</f>
        <v>0</v>
      </c>
      <c r="R46" s="6">
        <f>tblDisplaySheet[[#This Row],[Total Process Path Length]]</f>
        <v>166</v>
      </c>
      <c r="S46" s="6">
        <f>tblDisplaySheet[[#This Row],[Total Process Time]]</f>
        <v>0</v>
      </c>
      <c r="T46" s="6">
        <f>tblDisplaySheet[[#This Row],[Total Process Path Length]]</f>
        <v>166</v>
      </c>
      <c r="U46" s="6">
        <f>tblDisplaySheet[[#This Row],[Total Process Path Length NFR]]</f>
        <v>166</v>
      </c>
      <c r="V46" s="6" t="str">
        <f>tblDisplaySheet[[#This Row],[Status]]</f>
        <v>On Target</v>
      </c>
      <c r="W46" s="6" t="str">
        <f>tblDisplaySheet[[#This Row],[Is Leaf?]]</f>
        <v>G</v>
      </c>
      <c r="X46" s="6" t="str">
        <f>tblDisplaySheet[[#This Row],[Owner]]</f>
        <v>Alak</v>
      </c>
    </row>
    <row r="47" spans="1:24" x14ac:dyDescent="0.25">
      <c r="A47" s="6">
        <f>tblDisplaySheet[[#This Row],[Link]]</f>
        <v>44</v>
      </c>
      <c r="B47" s="6">
        <f>tblDisplaySheet[[#This Row],[Level]]</f>
        <v>8</v>
      </c>
      <c r="C47" s="6">
        <f>tblDisplaySheet[[#This Row],[Sl.No]]</f>
        <v>45</v>
      </c>
      <c r="D47" s="6" t="str">
        <f>tblDisplaySheet[[#This Row],[Group]]</f>
        <v>Service Level - Medicare</v>
      </c>
      <c r="E47" s="6" t="str">
        <f>TEXT(tblInputSheet[[#This Row],[Sl.No]], "000")&amp; ":"&amp; tblInputSheet[[#This Row],[Process]]</f>
        <v>045:Medicare Microservice</v>
      </c>
      <c r="F47" s="6" t="str">
        <f>IFERROR(IF(tblInputSheet[[#This Row],[Hosted Platform]] = "-", "", VLOOKUP(tblInputSheet[[#This Row],[Hosted Platform]], tblHosted_PlatformOwner[], 2,FALSE)), "")</f>
        <v>CC001</v>
      </c>
      <c r="G47" s="6" t="str">
        <f>IFERROR(IF(tblInputSheet[[#This Row],[Provider]] = "-", "", VLOOKUP(tblInputSheet[[#This Row],[Provider]], tblParticipants[], 2,FALSE)), "")</f>
        <v>PP001</v>
      </c>
      <c r="H47" s="6" t="str">
        <f>IFERROR(IF(tblInputSheet[[#This Row],[Consumer]] = "-", "", VLOOKUP(tblInputSheet[[#This Row],[Consumer]], tblParticipants[], 2,FALSE)), "")</f>
        <v>PP001</v>
      </c>
      <c r="I47" s="6" t="str">
        <f>IFERROR(IF(tblInputSheet[[#This Row],[Integration Pattern]] = "-", "", VLOOKUP(tblInputSheet[[#This Row],[Integration Pattern]], tblIntegrationPartten[], 2,FALSE)), "")</f>
        <v>IP006</v>
      </c>
      <c r="J47" s="6" t="str">
        <f>tblDisplaySheet[[#This Row],[Current State]]</f>
        <v>Y</v>
      </c>
      <c r="K47" s="6" t="str">
        <f>tblDisplaySheet[[#This Row],[Confidence Factor]]</f>
        <v>Medium</v>
      </c>
      <c r="L47" s="6">
        <f>tblDisplaySheet[[#This Row],[Count of Invocations]]</f>
        <v>1</v>
      </c>
      <c r="M47" s="6">
        <f>tblDisplaySheet[[#This Row],[DB Calls (ms)]]</f>
        <v>0</v>
      </c>
      <c r="N47" s="6">
        <f>tblDisplaySheet[[#This Row],[Logic (ms)]]</f>
        <v>5</v>
      </c>
      <c r="O47" s="6">
        <f>tblDisplaySheet[[#This Row],[Rules (ms)]]</f>
        <v>0</v>
      </c>
      <c r="P47" s="6">
        <f>tblDisplaySheet[[#This Row],[Latency (ms)]]</f>
        <v>15</v>
      </c>
      <c r="Q47" s="6">
        <f>tblDisplaySheet[[#This Row],[Latency (ms)]]</f>
        <v>15</v>
      </c>
      <c r="R47" s="6">
        <f>tblDisplaySheet[[#This Row],[Total Process Path Length]]</f>
        <v>166</v>
      </c>
      <c r="S47" s="6">
        <f>tblDisplaySheet[[#This Row],[Total Process Time]]</f>
        <v>20</v>
      </c>
      <c r="T47" s="6">
        <f>tblDisplaySheet[[#This Row],[Total Process Path Length]]</f>
        <v>166</v>
      </c>
      <c r="U47" s="6">
        <f>tblDisplaySheet[[#This Row],[Total Process Path Length NFR]]</f>
        <v>166</v>
      </c>
      <c r="V47" s="6" t="str">
        <f>tblDisplaySheet[[#This Row],[Status]]</f>
        <v>On Target</v>
      </c>
      <c r="W47" s="6" t="str">
        <f>tblDisplaySheet[[#This Row],[Is Leaf?]]</f>
        <v>N</v>
      </c>
      <c r="X47" s="6" t="str">
        <f>tblDisplaySheet[[#This Row],[Owner]]</f>
        <v>Sankar</v>
      </c>
    </row>
    <row r="48" spans="1:24" x14ac:dyDescent="0.25">
      <c r="A48" s="6">
        <f>tblDisplaySheet[[#This Row],[Link]]</f>
        <v>45</v>
      </c>
      <c r="B48" s="6">
        <f>tblDisplaySheet[[#This Row],[Level]]</f>
        <v>9</v>
      </c>
      <c r="C48" s="6">
        <f>tblDisplaySheet[[#This Row],[Sl.No]]</f>
        <v>46</v>
      </c>
      <c r="D48" s="6" t="str">
        <f>tblDisplaySheet[[#This Row],[Group]]</f>
        <v>Service Level - Medicare</v>
      </c>
      <c r="E48" s="6" t="str">
        <f>TEXT(tblInputSheet[[#This Row],[Sl.No]], "000")&amp; ":"&amp; tblInputSheet[[#This Row],[Process]]</f>
        <v xml:space="preserve">046:Medicare Mule Adapter </v>
      </c>
      <c r="F48" s="6" t="str">
        <f>IFERROR(IF(tblInputSheet[[#This Row],[Hosted Platform]] = "-", "", VLOOKUP(tblInputSheet[[#This Row],[Hosted Platform]], tblHosted_PlatformOwner[], 2,FALSE)), "")</f>
        <v>CC002</v>
      </c>
      <c r="G48" s="6" t="str">
        <f>IFERROR(IF(tblInputSheet[[#This Row],[Provider]] = "-", "", VLOOKUP(tblInputSheet[[#This Row],[Provider]], tblParticipants[], 2,FALSE)), "")</f>
        <v>PP001</v>
      </c>
      <c r="H48" s="6" t="str">
        <f>IFERROR(IF(tblInputSheet[[#This Row],[Consumer]] = "-", "", VLOOKUP(tblInputSheet[[#This Row],[Consumer]], tblParticipants[], 2,FALSE)), "")</f>
        <v>PP014</v>
      </c>
      <c r="I48" s="6" t="str">
        <f>IFERROR(IF(tblInputSheet[[#This Row],[Integration Pattern]] = "-", "", VLOOKUP(tblInputSheet[[#This Row],[Integration Pattern]], tblIntegrationPartten[], 2,FALSE)), "")</f>
        <v>IP004</v>
      </c>
      <c r="J48" s="6" t="str">
        <f>tblDisplaySheet[[#This Row],[Current State]]</f>
        <v>Y</v>
      </c>
      <c r="K48" s="6" t="str">
        <f>tblDisplaySheet[[#This Row],[Confidence Factor]]</f>
        <v>Low</v>
      </c>
      <c r="L48" s="6">
        <f>tblDisplaySheet[[#This Row],[Count of Invocations]]</f>
        <v>1</v>
      </c>
      <c r="M48" s="6">
        <f>tblDisplaySheet[[#This Row],[DB Calls (ms)]]</f>
        <v>0</v>
      </c>
      <c r="N48" s="6">
        <f>tblDisplaySheet[[#This Row],[Logic (ms)]]</f>
        <v>55</v>
      </c>
      <c r="O48" s="6">
        <f>tblDisplaySheet[[#This Row],[Rules (ms)]]</f>
        <v>0</v>
      </c>
      <c r="P48" s="6">
        <f>tblDisplaySheet[[#This Row],[Latency (ms)]]</f>
        <v>40</v>
      </c>
      <c r="Q48" s="6">
        <f>tblDisplaySheet[[#This Row],[Latency (ms)]]</f>
        <v>40</v>
      </c>
      <c r="R48" s="6">
        <f>tblDisplaySheet[[#This Row],[Total Process Path Length]]</f>
        <v>146</v>
      </c>
      <c r="S48" s="6">
        <f>tblDisplaySheet[[#This Row],[Total Process Time]]</f>
        <v>95</v>
      </c>
      <c r="T48" s="6">
        <f>tblDisplaySheet[[#This Row],[Total Process Path Length]]</f>
        <v>146</v>
      </c>
      <c r="U48" s="6">
        <f>tblDisplaySheet[[#This Row],[Total Process Path Length NFR]]</f>
        <v>146</v>
      </c>
      <c r="V48" s="6" t="str">
        <f>tblDisplaySheet[[#This Row],[Status]]</f>
        <v>On Target</v>
      </c>
      <c r="W48" s="6" t="str">
        <f>tblDisplaySheet[[#This Row],[Is Leaf?]]</f>
        <v>N</v>
      </c>
      <c r="X48" s="6" t="str">
        <f>tblDisplaySheet[[#This Row],[Owner]]</f>
        <v>Sankar</v>
      </c>
    </row>
    <row r="49" spans="1:24" x14ac:dyDescent="0.25">
      <c r="A49" s="6">
        <f>tblDisplaySheet[[#This Row],[Link]]</f>
        <v>46</v>
      </c>
      <c r="B49" s="6">
        <f>tblDisplaySheet[[#This Row],[Level]]</f>
        <v>10</v>
      </c>
      <c r="C49" s="6">
        <f>tblDisplaySheet[[#This Row],[Sl.No]]</f>
        <v>47</v>
      </c>
      <c r="D49" s="6" t="str">
        <f>tblDisplaySheet[[#This Row],[Group]]</f>
        <v>Service Level - Medicare</v>
      </c>
      <c r="E49" s="6" t="str">
        <f>TEXT(tblInputSheet[[#This Row],[Sl.No]], "000")&amp; ":"&amp; tblInputSheet[[#This Row],[Process]]</f>
        <v>047:Invoker</v>
      </c>
      <c r="F49" s="6" t="str">
        <f>IFERROR(IF(tblInputSheet[[#This Row],[Hosted Platform]] = "-", "", VLOOKUP(tblInputSheet[[#This Row],[Hosted Platform]], tblHosted_PlatformOwner[], 2,FALSE)), "")</f>
        <v>CC004</v>
      </c>
      <c r="G49" s="6" t="str">
        <f>IFERROR(IF(tblInputSheet[[#This Row],[Provider]] = "-", "", VLOOKUP(tblInputSheet[[#This Row],[Provider]], tblParticipants[], 2,FALSE)), "")</f>
        <v>PP004</v>
      </c>
      <c r="H49" s="6" t="str">
        <f>IFERROR(IF(tblInputSheet[[#This Row],[Consumer]] = "-", "", VLOOKUP(tblInputSheet[[#This Row],[Consumer]], tblParticipants[], 2,FALSE)), "")</f>
        <v>PP004</v>
      </c>
      <c r="I49" s="6" t="str">
        <f>IFERROR(IF(tblInputSheet[[#This Row],[Integration Pattern]] = "-", "", VLOOKUP(tblInputSheet[[#This Row],[Integration Pattern]], tblIntegrationPartten[], 2,FALSE)), "")</f>
        <v>IP010</v>
      </c>
      <c r="J49" s="6" t="str">
        <f>tblDisplaySheet[[#This Row],[Current State]]</f>
        <v>Y</v>
      </c>
      <c r="K49" s="6" t="str">
        <f>tblDisplaySheet[[#This Row],[Confidence Factor]]</f>
        <v>Medium</v>
      </c>
      <c r="L49" s="6">
        <f>tblDisplaySheet[[#This Row],[Count of Invocations]]</f>
        <v>1</v>
      </c>
      <c r="M49" s="6">
        <f>tblDisplaySheet[[#This Row],[DB Calls (ms)]]</f>
        <v>0</v>
      </c>
      <c r="N49" s="6">
        <f>tblDisplaySheet[[#This Row],[Logic (ms)]]</f>
        <v>1</v>
      </c>
      <c r="O49" s="6">
        <f>tblDisplaySheet[[#This Row],[Rules (ms)]]</f>
        <v>0</v>
      </c>
      <c r="P49" s="6">
        <f>tblDisplaySheet[[#This Row],[Latency (ms)]]</f>
        <v>0</v>
      </c>
      <c r="Q49" s="6">
        <f>tblDisplaySheet[[#This Row],[Latency (ms)]]</f>
        <v>0</v>
      </c>
      <c r="R49" s="6">
        <f>tblDisplaySheet[[#This Row],[Total Process Path Length]]</f>
        <v>51</v>
      </c>
      <c r="S49" s="6">
        <f>tblDisplaySheet[[#This Row],[Total Process Time]]</f>
        <v>1</v>
      </c>
      <c r="T49" s="6">
        <f>tblDisplaySheet[[#This Row],[Total Process Path Length]]</f>
        <v>51</v>
      </c>
      <c r="U49" s="6">
        <f>tblDisplaySheet[[#This Row],[Total Process Path Length NFR]]</f>
        <v>51</v>
      </c>
      <c r="V49" s="6" t="str">
        <f>tblDisplaySheet[[#This Row],[Status]]</f>
        <v>On Target</v>
      </c>
      <c r="W49" s="6" t="str">
        <f>tblDisplaySheet[[#This Row],[Is Leaf?]]</f>
        <v>N</v>
      </c>
      <c r="X49" s="6" t="str">
        <f>tblDisplaySheet[[#This Row],[Owner]]</f>
        <v>Sankar</v>
      </c>
    </row>
    <row r="50" spans="1:24" x14ac:dyDescent="0.25">
      <c r="A50" s="6">
        <f>tblDisplaySheet[[#This Row],[Link]]</f>
        <v>47</v>
      </c>
      <c r="B50" s="6">
        <f>tblDisplaySheet[[#This Row],[Level]]</f>
        <v>11</v>
      </c>
      <c r="C50" s="6">
        <f>tblDisplaySheet[[#This Row],[Sl.No]]</f>
        <v>48</v>
      </c>
      <c r="D50" s="6" t="str">
        <f>tblDisplaySheet[[#This Row],[Group]]</f>
        <v>Service Level - Medicare</v>
      </c>
      <c r="E50" s="6" t="str">
        <f>TEXT(tblInputSheet[[#This Row],[Sl.No]], "000")&amp; ":"&amp; tblInputSheet[[#This Row],[Process]]</f>
        <v>048:Medicare Legacy Module</v>
      </c>
      <c r="F50" s="6" t="str">
        <f>IFERROR(IF(tblInputSheet[[#This Row],[Hosted Platform]] = "-", "", VLOOKUP(tblInputSheet[[#This Row],[Hosted Platform]], tblHosted_PlatformOwner[], 2,FALSE)), "")</f>
        <v>CC004</v>
      </c>
      <c r="G50" s="6" t="str">
        <f>IFERROR(IF(tblInputSheet[[#This Row],[Provider]] = "-", "", VLOOKUP(tblInputSheet[[#This Row],[Provider]], tblParticipants[], 2,FALSE)), "")</f>
        <v>PP004</v>
      </c>
      <c r="H50" s="6" t="str">
        <f>IFERROR(IF(tblInputSheet[[#This Row],[Consumer]] = "-", "", VLOOKUP(tblInputSheet[[#This Row],[Consumer]], tblParticipants[], 2,FALSE)), "")</f>
        <v>PP004</v>
      </c>
      <c r="I50" s="6" t="str">
        <f>IFERROR(IF(tblInputSheet[[#This Row],[Integration Pattern]] = "-", "", VLOOKUP(tblInputSheet[[#This Row],[Integration Pattern]], tblIntegrationPartten[], 2,FALSE)), "")</f>
        <v>IP010</v>
      </c>
      <c r="J50" s="6" t="str">
        <f>tblDisplaySheet[[#This Row],[Current State]]</f>
        <v>Y</v>
      </c>
      <c r="K50" s="6" t="str">
        <f>tblDisplaySheet[[#This Row],[Confidence Factor]]</f>
        <v>Medium</v>
      </c>
      <c r="L50" s="6">
        <f>tblDisplaySheet[[#This Row],[Count of Invocations]]</f>
        <v>1</v>
      </c>
      <c r="M50" s="6">
        <f>tblDisplaySheet[[#This Row],[DB Calls (ms)]]</f>
        <v>0</v>
      </c>
      <c r="N50" s="6">
        <f>tblDisplaySheet[[#This Row],[Logic (ms)]]</f>
        <v>50</v>
      </c>
      <c r="O50" s="6">
        <f>tblDisplaySheet[[#This Row],[Rules (ms)]]</f>
        <v>0</v>
      </c>
      <c r="P50" s="6">
        <f>tblDisplaySheet[[#This Row],[Latency (ms)]]</f>
        <v>0</v>
      </c>
      <c r="Q50" s="6">
        <f>tblDisplaySheet[[#This Row],[Latency (ms)]]</f>
        <v>0</v>
      </c>
      <c r="R50" s="6">
        <f>tblDisplaySheet[[#This Row],[Total Process Path Length]]</f>
        <v>50</v>
      </c>
      <c r="S50" s="6">
        <f>tblDisplaySheet[[#This Row],[Total Process Time]]</f>
        <v>50</v>
      </c>
      <c r="T50" s="6">
        <f>tblDisplaySheet[[#This Row],[Total Process Path Length]]</f>
        <v>50</v>
      </c>
      <c r="U50" s="6">
        <f>tblDisplaySheet[[#This Row],[Total Process Path Length NFR]]</f>
        <v>50</v>
      </c>
      <c r="V50" s="6" t="str">
        <f>tblDisplaySheet[[#This Row],[Status]]</f>
        <v>On Target</v>
      </c>
      <c r="W50" s="6" t="str">
        <f>tblDisplaySheet[[#This Row],[Is Leaf?]]</f>
        <v>Y</v>
      </c>
      <c r="X50" s="6" t="str">
        <f>tblDisplaySheet[[#This Row],[Owner]]</f>
        <v>Sankar</v>
      </c>
    </row>
    <row r="51" spans="1:24" x14ac:dyDescent="0.25">
      <c r="A51" s="6">
        <f>tblDisplaySheet[[#This Row],[Link]]</f>
        <v>24</v>
      </c>
      <c r="B51" s="6">
        <f>tblDisplaySheet[[#This Row],[Level]]</f>
        <v>7</v>
      </c>
      <c r="C51" s="6">
        <f>tblDisplaySheet[[#This Row],[Sl.No]]</f>
        <v>49</v>
      </c>
      <c r="D51" s="6" t="str">
        <f>tblDisplaySheet[[#This Row],[Group]]</f>
        <v>Service Level - Pricing Engine</v>
      </c>
      <c r="E51" s="6" t="str">
        <f>TEXT(tblInputSheet[[#This Row],[Sl.No]], "000")&amp; ":"&amp; tblInputSheet[[#This Row],[Process]]</f>
        <v xml:space="preserve">049:Pricing </v>
      </c>
      <c r="F51" s="6" t="str">
        <f>IFERROR(IF(tblInputSheet[[#This Row],[Hosted Platform]] = "-", "", VLOOKUP(tblInputSheet[[#This Row],[Hosted Platform]], tblHosted_PlatformOwner[], 2,FALSE)), "")</f>
        <v>CC000</v>
      </c>
      <c r="G51" s="6" t="str">
        <f>IFERROR(IF(tblInputSheet[[#This Row],[Provider]] = "-", "", VLOOKUP(tblInputSheet[[#This Row],[Provider]], tblParticipants[], 2,FALSE)), "")</f>
        <v>PP000</v>
      </c>
      <c r="H51" s="6" t="str">
        <f>IFERROR(IF(tblInputSheet[[#This Row],[Consumer]] = "-", "", VLOOKUP(tblInputSheet[[#This Row],[Consumer]], tblParticipants[], 2,FALSE)), "")</f>
        <v>PP000</v>
      </c>
      <c r="I51" s="6" t="str">
        <f>IFERROR(IF(tblInputSheet[[#This Row],[Integration Pattern]] = "-", "", VLOOKUP(tblInputSheet[[#This Row],[Integration Pattern]], tblIntegrationPartten[], 2,FALSE)), "")</f>
        <v>IP000</v>
      </c>
      <c r="J51" s="6" t="str">
        <f>tblDisplaySheet[[#This Row],[Current State]]</f>
        <v>Y</v>
      </c>
      <c r="K51" s="6" t="str">
        <f>tblDisplaySheet[[#This Row],[Confidence Factor]]</f>
        <v>Group</v>
      </c>
      <c r="L51" s="6">
        <f>tblDisplaySheet[[#This Row],[Count of Invocations]]</f>
        <v>1</v>
      </c>
      <c r="M51" s="6">
        <f>tblDisplaySheet[[#This Row],[DB Calls (ms)]]</f>
        <v>0</v>
      </c>
      <c r="N51" s="6">
        <f>tblDisplaySheet[[#This Row],[Logic (ms)]]</f>
        <v>0</v>
      </c>
      <c r="O51" s="6">
        <f>tblDisplaySheet[[#This Row],[Rules (ms)]]</f>
        <v>0</v>
      </c>
      <c r="P51" s="6">
        <f>tblDisplaySheet[[#This Row],[Latency (ms)]]</f>
        <v>0</v>
      </c>
      <c r="Q51" s="6">
        <f>tblDisplaySheet[[#This Row],[Latency (ms)]]</f>
        <v>0</v>
      </c>
      <c r="R51" s="6">
        <f>tblDisplaySheet[[#This Row],[Total Process Path Length]]</f>
        <v>2535</v>
      </c>
      <c r="S51" s="6">
        <f>tblDisplaySheet[[#This Row],[Total Process Time]]</f>
        <v>0</v>
      </c>
      <c r="T51" s="6">
        <f>tblDisplaySheet[[#This Row],[Total Process Path Length]]</f>
        <v>2535</v>
      </c>
      <c r="U51" s="6">
        <f>tblDisplaySheet[[#This Row],[Total Process Path Length NFR]]</f>
        <v>2672</v>
      </c>
      <c r="V51" s="6" t="str">
        <f>tblDisplaySheet[[#This Row],[Status]]</f>
        <v>On Target</v>
      </c>
      <c r="W51" s="6" t="str">
        <f>tblDisplaySheet[[#This Row],[Is Leaf?]]</f>
        <v>G</v>
      </c>
      <c r="X51" s="6" t="str">
        <f>tblDisplaySheet[[#This Row],[Owner]]</f>
        <v>Alak</v>
      </c>
    </row>
    <row r="52" spans="1:24" x14ac:dyDescent="0.25">
      <c r="A52" s="6">
        <f>tblDisplaySheet[[#This Row],[Link]]</f>
        <v>49</v>
      </c>
      <c r="B52" s="6">
        <f>tblDisplaySheet[[#This Row],[Level]]</f>
        <v>8</v>
      </c>
      <c r="C52" s="6">
        <f>tblDisplaySheet[[#This Row],[Sl.No]]</f>
        <v>50</v>
      </c>
      <c r="D52" s="6" t="str">
        <f>tblDisplaySheet[[#This Row],[Group]]</f>
        <v>Service Level - Pricing Engine</v>
      </c>
      <c r="E52" s="6" t="str">
        <f>TEXT(tblInputSheet[[#This Row],[Sl.No]], "000")&amp; ":"&amp; tblInputSheet[[#This Row],[Process]]</f>
        <v>050:Pricing Engine Microservice</v>
      </c>
      <c r="F52" s="6" t="str">
        <f>IFERROR(IF(tblInputSheet[[#This Row],[Hosted Platform]] = "-", "", VLOOKUP(tblInputSheet[[#This Row],[Hosted Platform]], tblHosted_PlatformOwner[], 2,FALSE)), "")</f>
        <v>CC001</v>
      </c>
      <c r="G52" s="6" t="str">
        <f>IFERROR(IF(tblInputSheet[[#This Row],[Provider]] = "-", "", VLOOKUP(tblInputSheet[[#This Row],[Provider]], tblParticipants[], 2,FALSE)), "")</f>
        <v>PP001</v>
      </c>
      <c r="H52" s="6" t="str">
        <f>IFERROR(IF(tblInputSheet[[#This Row],[Consumer]] = "-", "", VLOOKUP(tblInputSheet[[#This Row],[Consumer]], tblParticipants[], 2,FALSE)), "")</f>
        <v>PP001</v>
      </c>
      <c r="I52" s="6" t="str">
        <f>IFERROR(IF(tblInputSheet[[#This Row],[Integration Pattern]] = "-", "", VLOOKUP(tblInputSheet[[#This Row],[Integration Pattern]], tblIntegrationPartten[], 2,FALSE)), "")</f>
        <v>IP001</v>
      </c>
      <c r="J52" s="6" t="str">
        <f>tblDisplaySheet[[#This Row],[Current State]]</f>
        <v>Y</v>
      </c>
      <c r="K52" s="6" t="str">
        <f>tblDisplaySheet[[#This Row],[Confidence Factor]]</f>
        <v>Low</v>
      </c>
      <c r="L52" s="6">
        <f>tblDisplaySheet[[#This Row],[Count of Invocations]]</f>
        <v>1</v>
      </c>
      <c r="M52" s="6">
        <f>tblDisplaySheet[[#This Row],[DB Calls (ms)]]</f>
        <v>0</v>
      </c>
      <c r="N52" s="6">
        <f>tblDisplaySheet[[#This Row],[Logic (ms)]]</f>
        <v>500</v>
      </c>
      <c r="O52" s="6">
        <f>tblDisplaySheet[[#This Row],[Rules (ms)]]</f>
        <v>0</v>
      </c>
      <c r="P52" s="6">
        <f>tblDisplaySheet[[#This Row],[Latency (ms)]]</f>
        <v>5</v>
      </c>
      <c r="Q52" s="6">
        <f>tblDisplaySheet[[#This Row],[Latency (ms)]]</f>
        <v>5</v>
      </c>
      <c r="R52" s="6">
        <f>tblDisplaySheet[[#This Row],[Total Process Path Length]]</f>
        <v>2535</v>
      </c>
      <c r="S52" s="6">
        <f>tblDisplaySheet[[#This Row],[Total Process Time]]</f>
        <v>505</v>
      </c>
      <c r="T52" s="6">
        <f>tblDisplaySheet[[#This Row],[Total Process Path Length]]</f>
        <v>2535</v>
      </c>
      <c r="U52" s="6">
        <f>tblDisplaySheet[[#This Row],[Total Process Path Length NFR]]</f>
        <v>2672</v>
      </c>
      <c r="V52" s="6" t="str">
        <f>tblDisplaySheet[[#This Row],[Status]]</f>
        <v>On Target</v>
      </c>
      <c r="W52" s="6" t="str">
        <f>tblDisplaySheet[[#This Row],[Is Leaf?]]</f>
        <v>N</v>
      </c>
      <c r="X52" s="6" t="str">
        <f>tblDisplaySheet[[#This Row],[Owner]]</f>
        <v>Alak</v>
      </c>
    </row>
    <row r="53" spans="1:24" x14ac:dyDescent="0.25">
      <c r="A53" s="6">
        <f>tblDisplaySheet[[#This Row],[Link]]</f>
        <v>50</v>
      </c>
      <c r="B53" s="6">
        <f>tblDisplaySheet[[#This Row],[Level]]</f>
        <v>9</v>
      </c>
      <c r="C53" s="6">
        <f>tblDisplaySheet[[#This Row],[Sl.No]]</f>
        <v>51</v>
      </c>
      <c r="D53" s="6" t="str">
        <f>tblDisplaySheet[[#This Row],[Group]]</f>
        <v>Service Level - Pricing Engine</v>
      </c>
      <c r="E53" s="6" t="str">
        <f>TEXT(tblInputSheet[[#This Row],[Sl.No]], "000")&amp; ":"&amp; tblInputSheet[[#This Row],[Process]]</f>
        <v>051:Reference Lookup Microservice</v>
      </c>
      <c r="F53" s="6" t="str">
        <f>IFERROR(IF(tblInputSheet[[#This Row],[Hosted Platform]] = "-", "", VLOOKUP(tblInputSheet[[#This Row],[Hosted Platform]], tblHosted_PlatformOwner[], 2,FALSE)), "")</f>
        <v>CC001</v>
      </c>
      <c r="G53" s="6" t="str">
        <f>IFERROR(IF(tblInputSheet[[#This Row],[Provider]] = "-", "", VLOOKUP(tblInputSheet[[#This Row],[Provider]], tblParticipants[], 2,FALSE)), "")</f>
        <v>PP001</v>
      </c>
      <c r="H53" s="6" t="str">
        <f>IFERROR(IF(tblInputSheet[[#This Row],[Consumer]] = "-", "", VLOOKUP(tblInputSheet[[#This Row],[Consumer]], tblParticipants[], 2,FALSE)), "")</f>
        <v>PP001</v>
      </c>
      <c r="I53" s="6" t="str">
        <f>IFERROR(IF(tblInputSheet[[#This Row],[Integration Pattern]] = "-", "", VLOOKUP(tblInputSheet[[#This Row],[Integration Pattern]], tblIntegrationPartten[], 2,FALSE)), "")</f>
        <v>IP001</v>
      </c>
      <c r="J53" s="6" t="str">
        <f>tblDisplaySheet[[#This Row],[Current State]]</f>
        <v>Y</v>
      </c>
      <c r="K53" s="6" t="str">
        <f>tblDisplaySheet[[#This Row],[Confidence Factor]]</f>
        <v>Medium</v>
      </c>
      <c r="L53" s="6">
        <f>tblDisplaySheet[[#This Row],[Count of Invocations]]</f>
        <v>1</v>
      </c>
      <c r="M53" s="6">
        <f>tblDisplaySheet[[#This Row],[DB Calls (ms)]]</f>
        <v>1</v>
      </c>
      <c r="N53" s="6">
        <f>tblDisplaySheet[[#This Row],[Logic (ms)]]</f>
        <v>5</v>
      </c>
      <c r="O53" s="6">
        <f>tblDisplaySheet[[#This Row],[Rules (ms)]]</f>
        <v>0</v>
      </c>
      <c r="P53" s="6">
        <f>tblDisplaySheet[[#This Row],[Latency (ms)]]</f>
        <v>5</v>
      </c>
      <c r="Q53" s="6">
        <f>tblDisplaySheet[[#This Row],[Latency (ms)]]</f>
        <v>5</v>
      </c>
      <c r="R53" s="6">
        <f>tblDisplaySheet[[#This Row],[Total Process Path Length]]</f>
        <v>11</v>
      </c>
      <c r="S53" s="6">
        <f>tblDisplaySheet[[#This Row],[Total Process Time]]</f>
        <v>11</v>
      </c>
      <c r="T53" s="6">
        <f>tblDisplaySheet[[#This Row],[Total Process Path Length]]</f>
        <v>11</v>
      </c>
      <c r="U53" s="6">
        <f>tblDisplaySheet[[#This Row],[Total Process Path Length NFR]]</f>
        <v>30</v>
      </c>
      <c r="V53" s="6" t="str">
        <f>tblDisplaySheet[[#This Row],[Status]]</f>
        <v>On Target</v>
      </c>
      <c r="W53" s="6" t="str">
        <f>tblDisplaySheet[[#This Row],[Is Leaf?]]</f>
        <v>Y</v>
      </c>
      <c r="X53" s="6" t="str">
        <f>tblDisplaySheet[[#This Row],[Owner]]</f>
        <v>Alak</v>
      </c>
    </row>
    <row r="54" spans="1:24" x14ac:dyDescent="0.25">
      <c r="A54" s="6">
        <f>tblDisplaySheet[[#This Row],[Link]]</f>
        <v>50</v>
      </c>
      <c r="B54" s="6">
        <f>tblDisplaySheet[[#This Row],[Level]]</f>
        <v>9</v>
      </c>
      <c r="C54" s="6">
        <f>tblDisplaySheet[[#This Row],[Sl.No]]</f>
        <v>52</v>
      </c>
      <c r="D54" s="6" t="str">
        <f>tblDisplaySheet[[#This Row],[Group]]</f>
        <v>Service Level - Pricing Engine</v>
      </c>
      <c r="E54" s="6" t="str">
        <f>TEXT(tblInputSheet[[#This Row],[Sl.No]], "000")&amp; ":"&amp; tblInputSheet[[#This Row],[Process]]</f>
        <v>052:Claim Provider Service</v>
      </c>
      <c r="F54" s="6" t="str">
        <f>IFERROR(IF(tblInputSheet[[#This Row],[Hosted Platform]] = "-", "", VLOOKUP(tblInputSheet[[#This Row],[Hosted Platform]], tblHosted_PlatformOwner[], 2,FALSE)), "")</f>
        <v>CC001</v>
      </c>
      <c r="G54" s="6" t="str">
        <f>IFERROR(IF(tblInputSheet[[#This Row],[Provider]] = "-", "", VLOOKUP(tblInputSheet[[#This Row],[Provider]], tblParticipants[], 2,FALSE)), "")</f>
        <v>PP001</v>
      </c>
      <c r="H54" s="6" t="str">
        <f>IFERROR(IF(tblInputSheet[[#This Row],[Consumer]] = "-", "", VLOOKUP(tblInputSheet[[#This Row],[Consumer]], tblParticipants[], 2,FALSE)), "")</f>
        <v>PP001</v>
      </c>
      <c r="I54" s="6" t="str">
        <f>IFERROR(IF(tblInputSheet[[#This Row],[Integration Pattern]] = "-", "", VLOOKUP(tblInputSheet[[#This Row],[Integration Pattern]], tblIntegrationPartten[], 2,FALSE)), "")</f>
        <v>IP001</v>
      </c>
      <c r="J54" s="6" t="str">
        <f>tblDisplaySheet[[#This Row],[Current State]]</f>
        <v>Y</v>
      </c>
      <c r="K54" s="6" t="str">
        <f>tblDisplaySheet[[#This Row],[Confidence Factor]]</f>
        <v>Medium</v>
      </c>
      <c r="L54" s="6">
        <f>tblDisplaySheet[[#This Row],[Count of Invocations]]</f>
        <v>1</v>
      </c>
      <c r="M54" s="6">
        <f>tblDisplaySheet[[#This Row],[DB Calls (ms)]]</f>
        <v>1</v>
      </c>
      <c r="N54" s="6">
        <f>tblDisplaySheet[[#This Row],[Logic (ms)]]</f>
        <v>40</v>
      </c>
      <c r="O54" s="6">
        <f>tblDisplaySheet[[#This Row],[Rules (ms)]]</f>
        <v>0</v>
      </c>
      <c r="P54" s="6">
        <f>tblDisplaySheet[[#This Row],[Latency (ms)]]</f>
        <v>15</v>
      </c>
      <c r="Q54" s="6">
        <f>tblDisplaySheet[[#This Row],[Latency (ms)]]</f>
        <v>15</v>
      </c>
      <c r="R54" s="6">
        <f>tblDisplaySheet[[#This Row],[Total Process Path Length]]</f>
        <v>56</v>
      </c>
      <c r="S54" s="6">
        <f>tblDisplaySheet[[#This Row],[Total Process Time]]</f>
        <v>56</v>
      </c>
      <c r="T54" s="6">
        <f>tblDisplaySheet[[#This Row],[Total Process Path Length]]</f>
        <v>56</v>
      </c>
      <c r="U54" s="6">
        <f>tblDisplaySheet[[#This Row],[Total Process Path Length NFR]]</f>
        <v>65</v>
      </c>
      <c r="V54" s="6" t="str">
        <f>tblDisplaySheet[[#This Row],[Status]]</f>
        <v>On Target</v>
      </c>
      <c r="W54" s="6" t="str">
        <f>tblDisplaySheet[[#This Row],[Is Leaf?]]</f>
        <v>Y</v>
      </c>
      <c r="X54" s="6" t="str">
        <f>tblDisplaySheet[[#This Row],[Owner]]</f>
        <v>Alak</v>
      </c>
    </row>
    <row r="55" spans="1:24" x14ac:dyDescent="0.25">
      <c r="A55" s="6">
        <f>tblDisplaySheet[[#This Row],[Link]]</f>
        <v>50</v>
      </c>
      <c r="B55" s="6">
        <f>tblDisplaySheet[[#This Row],[Level]]</f>
        <v>9</v>
      </c>
      <c r="C55" s="6">
        <f>tblDisplaySheet[[#This Row],[Sl.No]]</f>
        <v>53</v>
      </c>
      <c r="D55" s="6" t="str">
        <f>tblDisplaySheet[[#This Row],[Group]]</f>
        <v>Service Level - Pricing Engine</v>
      </c>
      <c r="E55" s="6" t="str">
        <f>TEXT(tblInputSheet[[#This Row],[Sl.No]], "000")&amp; ":"&amp; tblInputSheet[[#This Row],[Process]]</f>
        <v>053:Contract API</v>
      </c>
      <c r="F55" s="6" t="str">
        <f>IFERROR(IF(tblInputSheet[[#This Row],[Hosted Platform]] = "-", "", VLOOKUP(tblInputSheet[[#This Row],[Hosted Platform]], tblHosted_PlatformOwner[], 2,FALSE)), "")</f>
        <v>CC001</v>
      </c>
      <c r="G55" s="6" t="str">
        <f>IFERROR(IF(tblInputSheet[[#This Row],[Provider]] = "-", "", VLOOKUP(tblInputSheet[[#This Row],[Provider]], tblParticipants[], 2,FALSE)), "")</f>
        <v>PP001</v>
      </c>
      <c r="H55" s="6" t="str">
        <f>IFERROR(IF(tblInputSheet[[#This Row],[Consumer]] = "-", "", VLOOKUP(tblInputSheet[[#This Row],[Consumer]], tblParticipants[], 2,FALSE)), "")</f>
        <v>PP001</v>
      </c>
      <c r="I55" s="6" t="str">
        <f>IFERROR(IF(tblInputSheet[[#This Row],[Integration Pattern]] = "-", "", VLOOKUP(tblInputSheet[[#This Row],[Integration Pattern]], tblIntegrationPartten[], 2,FALSE)), "")</f>
        <v>IP001</v>
      </c>
      <c r="J55" s="6" t="str">
        <f>tblDisplaySheet[[#This Row],[Current State]]</f>
        <v>Y</v>
      </c>
      <c r="K55" s="6" t="str">
        <f>tblDisplaySheet[[#This Row],[Confidence Factor]]</f>
        <v>Medium</v>
      </c>
      <c r="L55" s="6">
        <f>tblDisplaySheet[[#This Row],[Count of Invocations]]</f>
        <v>1</v>
      </c>
      <c r="M55" s="6">
        <f>tblDisplaySheet[[#This Row],[DB Calls (ms)]]</f>
        <v>5</v>
      </c>
      <c r="N55" s="6">
        <f>tblDisplaySheet[[#This Row],[Logic (ms)]]</f>
        <v>30</v>
      </c>
      <c r="O55" s="6">
        <f>tblDisplaySheet[[#This Row],[Rules (ms)]]</f>
        <v>0</v>
      </c>
      <c r="P55" s="6">
        <f>tblDisplaySheet[[#This Row],[Latency (ms)]]</f>
        <v>10</v>
      </c>
      <c r="Q55" s="6">
        <f>tblDisplaySheet[[#This Row],[Latency (ms)]]</f>
        <v>10</v>
      </c>
      <c r="R55" s="6">
        <f>tblDisplaySheet[[#This Row],[Total Process Path Length]]</f>
        <v>45</v>
      </c>
      <c r="S55" s="6">
        <f>tblDisplaySheet[[#This Row],[Total Process Time]]</f>
        <v>45</v>
      </c>
      <c r="T55" s="6">
        <f>tblDisplaySheet[[#This Row],[Total Process Path Length]]</f>
        <v>45</v>
      </c>
      <c r="U55" s="6">
        <f>tblDisplaySheet[[#This Row],[Total Process Path Length NFR]]</f>
        <v>50</v>
      </c>
      <c r="V55" s="6" t="str">
        <f>tblDisplaySheet[[#This Row],[Status]]</f>
        <v>On Target</v>
      </c>
      <c r="W55" s="6" t="str">
        <f>tblDisplaySheet[[#This Row],[Is Leaf?]]</f>
        <v>Y</v>
      </c>
      <c r="X55" s="6" t="str">
        <f>tblDisplaySheet[[#This Row],[Owner]]</f>
        <v>Greg</v>
      </c>
    </row>
    <row r="56" spans="1:24" x14ac:dyDescent="0.25">
      <c r="A56" s="6">
        <f>tblDisplaySheet[[#This Row],[Link]]</f>
        <v>50</v>
      </c>
      <c r="B56" s="6">
        <f>tblDisplaySheet[[#This Row],[Level]]</f>
        <v>9</v>
      </c>
      <c r="C56" s="6">
        <f>tblDisplaySheet[[#This Row],[Sl.No]]</f>
        <v>54</v>
      </c>
      <c r="D56" s="6" t="str">
        <f>tblDisplaySheet[[#This Row],[Group]]</f>
        <v>Service Level - Pricing Engine</v>
      </c>
      <c r="E56" s="6" t="str">
        <f>TEXT(tblInputSheet[[#This Row],[Sl.No]], "000")&amp; ":"&amp; tblInputSheet[[#This Row],[Process]]</f>
        <v>054:Claim Pricer Service</v>
      </c>
      <c r="F56" s="6" t="str">
        <f>IFERROR(IF(tblInputSheet[[#This Row],[Hosted Platform]] = "-", "", VLOOKUP(tblInputSheet[[#This Row],[Hosted Platform]], tblHosted_PlatformOwner[], 2,FALSE)), "")</f>
        <v>CC001</v>
      </c>
      <c r="G56" s="6" t="str">
        <f>IFERROR(IF(tblInputSheet[[#This Row],[Provider]] = "-", "", VLOOKUP(tblInputSheet[[#This Row],[Provider]], tblParticipants[], 2,FALSE)), "")</f>
        <v>PP001</v>
      </c>
      <c r="H56" s="6" t="str">
        <f>IFERROR(IF(tblInputSheet[[#This Row],[Consumer]] = "-", "", VLOOKUP(tblInputSheet[[#This Row],[Consumer]], tblParticipants[], 2,FALSE)), "")</f>
        <v>PP001</v>
      </c>
      <c r="I56" s="6" t="str">
        <f>IFERROR(IF(tblInputSheet[[#This Row],[Integration Pattern]] = "-", "", VLOOKUP(tblInputSheet[[#This Row],[Integration Pattern]], tblIntegrationPartten[], 2,FALSE)), "")</f>
        <v>IP001</v>
      </c>
      <c r="J56" s="6" t="str">
        <f>tblDisplaySheet[[#This Row],[Current State]]</f>
        <v>Y</v>
      </c>
      <c r="K56" s="6" t="str">
        <f>tblDisplaySheet[[#This Row],[Confidence Factor]]</f>
        <v>Medium</v>
      </c>
      <c r="L56" s="6">
        <f>tblDisplaySheet[[#This Row],[Count of Invocations]]</f>
        <v>1</v>
      </c>
      <c r="M56" s="6">
        <f>tblDisplaySheet[[#This Row],[DB Calls (ms)]]</f>
        <v>1</v>
      </c>
      <c r="N56" s="6">
        <f>tblDisplaySheet[[#This Row],[Logic (ms)]]</f>
        <v>10</v>
      </c>
      <c r="O56" s="6">
        <f>tblDisplaySheet[[#This Row],[Rules (ms)]]</f>
        <v>0</v>
      </c>
      <c r="P56" s="6">
        <f>tblDisplaySheet[[#This Row],[Latency (ms)]]</f>
        <v>15</v>
      </c>
      <c r="Q56" s="6">
        <f>tblDisplaySheet[[#This Row],[Latency (ms)]]</f>
        <v>15</v>
      </c>
      <c r="R56" s="6">
        <f>tblDisplaySheet[[#This Row],[Total Process Path Length]]</f>
        <v>61</v>
      </c>
      <c r="S56" s="6">
        <f>tblDisplaySheet[[#This Row],[Total Process Time]]</f>
        <v>26</v>
      </c>
      <c r="T56" s="6">
        <f>tblDisplaySheet[[#This Row],[Total Process Path Length]]</f>
        <v>61</v>
      </c>
      <c r="U56" s="6">
        <f>tblDisplaySheet[[#This Row],[Total Process Path Length NFR]]</f>
        <v>100</v>
      </c>
      <c r="V56" s="6" t="str">
        <f>tblDisplaySheet[[#This Row],[Status]]</f>
        <v>On Target</v>
      </c>
      <c r="W56" s="6" t="str">
        <f>tblDisplaySheet[[#This Row],[Is Leaf?]]</f>
        <v>N</v>
      </c>
      <c r="X56" s="6" t="str">
        <f>tblDisplaySheet[[#This Row],[Owner]]</f>
        <v>Alak</v>
      </c>
    </row>
    <row r="57" spans="1:24" x14ac:dyDescent="0.25">
      <c r="A57" s="6">
        <f>tblDisplaySheet[[#This Row],[Link]]</f>
        <v>54</v>
      </c>
      <c r="B57" s="6">
        <f>tblDisplaySheet[[#This Row],[Level]]</f>
        <v>10</v>
      </c>
      <c r="C57" s="6">
        <f>tblDisplaySheet[[#This Row],[Sl.No]]</f>
        <v>55</v>
      </c>
      <c r="D57" s="6" t="str">
        <f>tblDisplaySheet[[#This Row],[Group]]</f>
        <v>Service Level - Pricing Engine</v>
      </c>
      <c r="E57" s="6" t="str">
        <f>TEXT(tblInputSheet[[#This Row],[Sl.No]], "000")&amp; ":"&amp; tblInputSheet[[#This Row],[Process]]</f>
        <v>055:Primier Pricer API</v>
      </c>
      <c r="F57" s="6" t="str">
        <f>IFERROR(IF(tblInputSheet[[#This Row],[Hosted Platform]] = "-", "", VLOOKUP(tblInputSheet[[#This Row],[Hosted Platform]], tblHosted_PlatformOwner[], 2,FALSE)), "")</f>
        <v>CC001</v>
      </c>
      <c r="G57" s="6" t="str">
        <f>IFERROR(IF(tblInputSheet[[#This Row],[Provider]] = "-", "", VLOOKUP(tblInputSheet[[#This Row],[Provider]], tblParticipants[], 2,FALSE)), "")</f>
        <v>PP010</v>
      </c>
      <c r="H57" s="6" t="str">
        <f>IFERROR(IF(tblInputSheet[[#This Row],[Consumer]] = "-", "", VLOOKUP(tblInputSheet[[#This Row],[Consumer]], tblParticipants[], 2,FALSE)), "")</f>
        <v>PP001</v>
      </c>
      <c r="I57" s="6" t="str">
        <f>IFERROR(IF(tblInputSheet[[#This Row],[Integration Pattern]] = "-", "", VLOOKUP(tblInputSheet[[#This Row],[Integration Pattern]], tblIntegrationPartten[], 2,FALSE)), "")</f>
        <v>IP007</v>
      </c>
      <c r="J57" s="6" t="str">
        <f>tblDisplaySheet[[#This Row],[Current State]]</f>
        <v>Y</v>
      </c>
      <c r="K57" s="6" t="str">
        <f>tblDisplaySheet[[#This Row],[Confidence Factor]]</f>
        <v>Medium</v>
      </c>
      <c r="L57" s="6">
        <f>tblDisplaySheet[[#This Row],[Count of Invocations]]</f>
        <v>1</v>
      </c>
      <c r="M57" s="6">
        <f>tblDisplaySheet[[#This Row],[DB Calls (ms)]]</f>
        <v>0</v>
      </c>
      <c r="N57" s="6">
        <f>tblDisplaySheet[[#This Row],[Logic (ms)]]</f>
        <v>20</v>
      </c>
      <c r="O57" s="6">
        <f>tblDisplaySheet[[#This Row],[Rules (ms)]]</f>
        <v>0</v>
      </c>
      <c r="P57" s="6">
        <f>tblDisplaySheet[[#This Row],[Latency (ms)]]</f>
        <v>15</v>
      </c>
      <c r="Q57" s="6">
        <f>tblDisplaySheet[[#This Row],[Latency (ms)]]</f>
        <v>15</v>
      </c>
      <c r="R57" s="6">
        <f>tblDisplaySheet[[#This Row],[Total Process Path Length]]</f>
        <v>35</v>
      </c>
      <c r="S57" s="6">
        <f>tblDisplaySheet[[#This Row],[Total Process Time]]</f>
        <v>35</v>
      </c>
      <c r="T57" s="6">
        <f>tblDisplaySheet[[#This Row],[Total Process Path Length]]</f>
        <v>35</v>
      </c>
      <c r="U57" s="6">
        <f>tblDisplaySheet[[#This Row],[Total Process Path Length NFR]]</f>
        <v>50</v>
      </c>
      <c r="V57" s="6" t="str">
        <f>tblDisplaySheet[[#This Row],[Status]]</f>
        <v>On Target</v>
      </c>
      <c r="W57" s="6" t="str">
        <f>tblDisplaySheet[[#This Row],[Is Leaf?]]</f>
        <v>Y</v>
      </c>
      <c r="X57" s="6" t="str">
        <f>tblDisplaySheet[[#This Row],[Owner]]</f>
        <v>Alak</v>
      </c>
    </row>
    <row r="58" spans="1:24" x14ac:dyDescent="0.25">
      <c r="A58" s="6">
        <f>tblDisplaySheet[[#This Row],[Link]]</f>
        <v>50</v>
      </c>
      <c r="B58" s="6">
        <f>tblDisplaySheet[[#This Row],[Level]]</f>
        <v>9</v>
      </c>
      <c r="C58" s="6">
        <f>tblDisplaySheet[[#This Row],[Sl.No]]</f>
        <v>56</v>
      </c>
      <c r="D58" s="6" t="str">
        <f>tblDisplaySheet[[#This Row],[Group]]</f>
        <v>Service Level - Pricing Engine</v>
      </c>
      <c r="E58" s="6" t="str">
        <f>TEXT(tblInputSheet[[#This Row],[Sl.No]], "000")&amp; ":"&amp; tblInputSheet[[#This Row],[Process]]</f>
        <v>056:ClaimsXten Microservice</v>
      </c>
      <c r="F58" s="6" t="str">
        <f>IFERROR(IF(tblInputSheet[[#This Row],[Hosted Platform]] = "-", "", VLOOKUP(tblInputSheet[[#This Row],[Hosted Platform]], tblHosted_PlatformOwner[], 2,FALSE)), "")</f>
        <v>CC001</v>
      </c>
      <c r="G58" s="6" t="str">
        <f>IFERROR(IF(tblInputSheet[[#This Row],[Provider]] = "-", "", VLOOKUP(tblInputSheet[[#This Row],[Provider]], tblParticipants[], 2,FALSE)), "")</f>
        <v>PP001</v>
      </c>
      <c r="H58" s="6" t="str">
        <f>IFERROR(IF(tblInputSheet[[#This Row],[Consumer]] = "-", "", VLOOKUP(tblInputSheet[[#This Row],[Consumer]], tblParticipants[], 2,FALSE)), "")</f>
        <v>PP001</v>
      </c>
      <c r="I58" s="6" t="str">
        <f>IFERROR(IF(tblInputSheet[[#This Row],[Integration Pattern]] = "-", "", VLOOKUP(tblInputSheet[[#This Row],[Integration Pattern]], tblIntegrationPartten[], 2,FALSE)), "")</f>
        <v>IP001</v>
      </c>
      <c r="J58" s="6" t="str">
        <f>tblDisplaySheet[[#This Row],[Current State]]</f>
        <v>Y</v>
      </c>
      <c r="K58" s="6" t="str">
        <f>tblDisplaySheet[[#This Row],[Confidence Factor]]</f>
        <v>Medium</v>
      </c>
      <c r="L58" s="6">
        <f>tblDisplaySheet[[#This Row],[Count of Invocations]]</f>
        <v>1</v>
      </c>
      <c r="M58" s="6">
        <f>tblDisplaySheet[[#This Row],[DB Calls (ms)]]</f>
        <v>0</v>
      </c>
      <c r="N58" s="6">
        <f>tblDisplaySheet[[#This Row],[Logic (ms)]]</f>
        <v>20</v>
      </c>
      <c r="O58" s="6">
        <f>tblDisplaySheet[[#This Row],[Rules (ms)]]</f>
        <v>0</v>
      </c>
      <c r="P58" s="6">
        <f>tblDisplaySheet[[#This Row],[Latency (ms)]]</f>
        <v>15</v>
      </c>
      <c r="Q58" s="6">
        <f>tblDisplaySheet[[#This Row],[Latency (ms)]]</f>
        <v>15</v>
      </c>
      <c r="R58" s="6">
        <f>tblDisplaySheet[[#This Row],[Total Process Path Length]]</f>
        <v>1170</v>
      </c>
      <c r="S58" s="6">
        <f>tblDisplaySheet[[#This Row],[Total Process Time]]</f>
        <v>35</v>
      </c>
      <c r="T58" s="6">
        <f>tblDisplaySheet[[#This Row],[Total Process Path Length]]</f>
        <v>1170</v>
      </c>
      <c r="U58" s="6">
        <f>tblDisplaySheet[[#This Row],[Total Process Path Length NFR]]</f>
        <v>1185</v>
      </c>
      <c r="V58" s="6" t="str">
        <f>tblDisplaySheet[[#This Row],[Status]]</f>
        <v>On Target</v>
      </c>
      <c r="W58" s="6" t="str">
        <f>tblDisplaySheet[[#This Row],[Is Leaf?]]</f>
        <v>N</v>
      </c>
      <c r="X58" s="6" t="str">
        <f>tblDisplaySheet[[#This Row],[Owner]]</f>
        <v>Alak</v>
      </c>
    </row>
    <row r="59" spans="1:24" x14ac:dyDescent="0.25">
      <c r="A59" s="6">
        <f>tblDisplaySheet[[#This Row],[Link]]</f>
        <v>56</v>
      </c>
      <c r="B59" s="6">
        <f>tblDisplaySheet[[#This Row],[Level]]</f>
        <v>10</v>
      </c>
      <c r="C59" s="6">
        <f>tblDisplaySheet[[#This Row],[Sl.No]]</f>
        <v>57</v>
      </c>
      <c r="D59" s="6" t="str">
        <f>tblDisplaySheet[[#This Row],[Group]]</f>
        <v>Service Level - Pricing Engine</v>
      </c>
      <c r="E59" s="6" t="str">
        <f>TEXT(tblInputSheet[[#This Row],[Sl.No]], "000")&amp; ":"&amp; tblInputSheet[[#This Row],[Process]]</f>
        <v>057:Claims Xten Mule Adapter</v>
      </c>
      <c r="F59" s="6" t="str">
        <f>IFERROR(IF(tblInputSheet[[#This Row],[Hosted Platform]] = "-", "", VLOOKUP(tblInputSheet[[#This Row],[Hosted Platform]], tblHosted_PlatformOwner[], 2,FALSE)), "")</f>
        <v>CC002</v>
      </c>
      <c r="G59" s="6" t="str">
        <f>IFERROR(IF(tblInputSheet[[#This Row],[Provider]] = "-", "", VLOOKUP(tblInputSheet[[#This Row],[Provider]], tblParticipants[], 2,FALSE)), "")</f>
        <v>PP001</v>
      </c>
      <c r="H59" s="6" t="str">
        <f>IFERROR(IF(tblInputSheet[[#This Row],[Consumer]] = "-", "", VLOOKUP(tblInputSheet[[#This Row],[Consumer]], tblParticipants[], 2,FALSE)), "")</f>
        <v>PP004</v>
      </c>
      <c r="I59" s="6" t="str">
        <f>IFERROR(IF(tblInputSheet[[#This Row],[Integration Pattern]] = "-", "", VLOOKUP(tblInputSheet[[#This Row],[Integration Pattern]], tblIntegrationPartten[], 2,FALSE)), "")</f>
        <v>IP004</v>
      </c>
      <c r="J59" s="6" t="str">
        <f>tblDisplaySheet[[#This Row],[Current State]]</f>
        <v>Y</v>
      </c>
      <c r="K59" s="6" t="str">
        <f>tblDisplaySheet[[#This Row],[Confidence Factor]]</f>
        <v>Low</v>
      </c>
      <c r="L59" s="6">
        <f>tblDisplaySheet[[#This Row],[Count of Invocations]]</f>
        <v>1</v>
      </c>
      <c r="M59" s="6">
        <f>tblDisplaySheet[[#This Row],[DB Calls (ms)]]</f>
        <v>0</v>
      </c>
      <c r="N59" s="6">
        <f>tblDisplaySheet[[#This Row],[Logic (ms)]]</f>
        <v>60</v>
      </c>
      <c r="O59" s="6">
        <f>tblDisplaySheet[[#This Row],[Rules (ms)]]</f>
        <v>0</v>
      </c>
      <c r="P59" s="6">
        <f>tblDisplaySheet[[#This Row],[Latency (ms)]]</f>
        <v>45</v>
      </c>
      <c r="Q59" s="6">
        <f>tblDisplaySheet[[#This Row],[Latency (ms)]]</f>
        <v>45</v>
      </c>
      <c r="R59" s="6">
        <f>tblDisplaySheet[[#This Row],[Total Process Path Length]]</f>
        <v>1135</v>
      </c>
      <c r="S59" s="6">
        <f>tblDisplaySheet[[#This Row],[Total Process Time]]</f>
        <v>105</v>
      </c>
      <c r="T59" s="6">
        <f>tblDisplaySheet[[#This Row],[Total Process Path Length]]</f>
        <v>1135</v>
      </c>
      <c r="U59" s="6">
        <f>tblDisplaySheet[[#This Row],[Total Process Path Length NFR]]</f>
        <v>1135</v>
      </c>
      <c r="V59" s="6" t="str">
        <f>tblDisplaySheet[[#This Row],[Status]]</f>
        <v>On Target</v>
      </c>
      <c r="W59" s="6" t="str">
        <f>tblDisplaySheet[[#This Row],[Is Leaf?]]</f>
        <v>N</v>
      </c>
      <c r="X59" s="6" t="str">
        <f>tblDisplaySheet[[#This Row],[Owner]]</f>
        <v>Alak</v>
      </c>
    </row>
    <row r="60" spans="1:24" x14ac:dyDescent="0.25">
      <c r="A60" s="6">
        <f>tblDisplaySheet[[#This Row],[Link]]</f>
        <v>57</v>
      </c>
      <c r="B60" s="6">
        <f>tblDisplaySheet[[#This Row],[Level]]</f>
        <v>11</v>
      </c>
      <c r="C60" s="6">
        <f>tblDisplaySheet[[#This Row],[Sl.No]]</f>
        <v>58</v>
      </c>
      <c r="D60" s="6" t="str">
        <f>tblDisplaySheet[[#This Row],[Group]]</f>
        <v>Service Level - Pricing Engine</v>
      </c>
      <c r="E60" s="6" t="str">
        <f>TEXT(tblInputSheet[[#This Row],[Sl.No]], "000")&amp; ":"&amp; tblInputSheet[[#This Row],[Process]]</f>
        <v>058:Invoker</v>
      </c>
      <c r="F60" s="6" t="str">
        <f>IFERROR(IF(tblInputSheet[[#This Row],[Hosted Platform]] = "-", "", VLOOKUP(tblInputSheet[[#This Row],[Hosted Platform]], tblHosted_PlatformOwner[], 2,FALSE)), "")</f>
        <v>CC004</v>
      </c>
      <c r="G60" s="6" t="str">
        <f>IFERROR(IF(tblInputSheet[[#This Row],[Provider]] = "-", "", VLOOKUP(tblInputSheet[[#This Row],[Provider]], tblParticipants[], 2,FALSE)), "")</f>
        <v>PP004</v>
      </c>
      <c r="H60" s="6" t="str">
        <f>IFERROR(IF(tblInputSheet[[#This Row],[Consumer]] = "-", "", VLOOKUP(tblInputSheet[[#This Row],[Consumer]], tblParticipants[], 2,FALSE)), "")</f>
        <v>PP004</v>
      </c>
      <c r="I60" s="6" t="str">
        <f>IFERROR(IF(tblInputSheet[[#This Row],[Integration Pattern]] = "-", "", VLOOKUP(tblInputSheet[[#This Row],[Integration Pattern]], tblIntegrationPartten[], 2,FALSE)), "")</f>
        <v>IP010</v>
      </c>
      <c r="J60" s="6" t="str">
        <f>tblDisplaySheet[[#This Row],[Current State]]</f>
        <v>Y</v>
      </c>
      <c r="K60" s="6" t="str">
        <f>tblDisplaySheet[[#This Row],[Confidence Factor]]</f>
        <v>Medium</v>
      </c>
      <c r="L60" s="6">
        <f>tblDisplaySheet[[#This Row],[Count of Invocations]]</f>
        <v>1</v>
      </c>
      <c r="M60" s="6">
        <f>tblDisplaySheet[[#This Row],[DB Calls (ms)]]</f>
        <v>0</v>
      </c>
      <c r="N60" s="6">
        <f>tblDisplaySheet[[#This Row],[Logic (ms)]]</f>
        <v>1</v>
      </c>
      <c r="O60" s="6">
        <f>tblDisplaySheet[[#This Row],[Rules (ms)]]</f>
        <v>0</v>
      </c>
      <c r="P60" s="6">
        <f>tblDisplaySheet[[#This Row],[Latency (ms)]]</f>
        <v>0</v>
      </c>
      <c r="Q60" s="6">
        <f>tblDisplaySheet[[#This Row],[Latency (ms)]]</f>
        <v>0</v>
      </c>
      <c r="R60" s="6">
        <f>tblDisplaySheet[[#This Row],[Total Process Path Length]]</f>
        <v>1030</v>
      </c>
      <c r="S60" s="6">
        <f>tblDisplaySheet[[#This Row],[Total Process Time]]</f>
        <v>1</v>
      </c>
      <c r="T60" s="6">
        <f>tblDisplaySheet[[#This Row],[Total Process Path Length]]</f>
        <v>1030</v>
      </c>
      <c r="U60" s="6">
        <f>tblDisplaySheet[[#This Row],[Total Process Path Length NFR]]</f>
        <v>1030</v>
      </c>
      <c r="V60" s="6" t="str">
        <f>tblDisplaySheet[[#This Row],[Status]]</f>
        <v>On Target</v>
      </c>
      <c r="W60" s="6" t="str">
        <f>tblDisplaySheet[[#This Row],[Is Leaf?]]</f>
        <v>N</v>
      </c>
      <c r="X60" s="6" t="str">
        <f>tblDisplaySheet[[#This Row],[Owner]]</f>
        <v>Alak</v>
      </c>
    </row>
    <row r="61" spans="1:24" x14ac:dyDescent="0.25">
      <c r="A61" s="6">
        <f>tblDisplaySheet[[#This Row],[Link]]</f>
        <v>58</v>
      </c>
      <c r="B61" s="6">
        <f>tblDisplaySheet[[#This Row],[Level]]</f>
        <v>12</v>
      </c>
      <c r="C61" s="6">
        <f>tblDisplaySheet[[#This Row],[Sl.No]]</f>
        <v>59</v>
      </c>
      <c r="D61" s="6" t="str">
        <f>tblDisplaySheet[[#This Row],[Group]]</f>
        <v>Service Level - Pricing Engine</v>
      </c>
      <c r="E61" s="6" t="str">
        <f>TEXT(tblInputSheet[[#This Row],[Sl.No]], "000")&amp; ":"&amp; tblInputSheet[[#This Row],[Process]]</f>
        <v>059:Legacy Claims Xten</v>
      </c>
      <c r="F61" s="6" t="str">
        <f>IFERROR(IF(tblInputSheet[[#This Row],[Hosted Platform]] = "-", "", VLOOKUP(tblInputSheet[[#This Row],[Hosted Platform]], tblHosted_PlatformOwner[], 2,FALSE)), "")</f>
        <v>CC004</v>
      </c>
      <c r="G61" s="6" t="str">
        <f>IFERROR(IF(tblInputSheet[[#This Row],[Provider]] = "-", "", VLOOKUP(tblInputSheet[[#This Row],[Provider]], tblParticipants[], 2,FALSE)), "")</f>
        <v>PP004</v>
      </c>
      <c r="H61" s="6" t="str">
        <f>IFERROR(IF(tblInputSheet[[#This Row],[Consumer]] = "-", "", VLOOKUP(tblInputSheet[[#This Row],[Consumer]], tblParticipants[], 2,FALSE)), "")</f>
        <v>PP004</v>
      </c>
      <c r="I61" s="6" t="str">
        <f>IFERROR(IF(tblInputSheet[[#This Row],[Integration Pattern]] = "-", "", VLOOKUP(tblInputSheet[[#This Row],[Integration Pattern]], tblIntegrationPartten[], 2,FALSE)), "")</f>
        <v>IP010</v>
      </c>
      <c r="J61" s="6" t="str">
        <f>tblDisplaySheet[[#This Row],[Current State]]</f>
        <v>Y</v>
      </c>
      <c r="K61" s="6" t="str">
        <f>tblDisplaySheet[[#This Row],[Confidence Factor]]</f>
        <v>Low</v>
      </c>
      <c r="L61" s="6">
        <f>tblDisplaySheet[[#This Row],[Count of Invocations]]</f>
        <v>1</v>
      </c>
      <c r="M61" s="6">
        <f>tblDisplaySheet[[#This Row],[DB Calls (ms)]]</f>
        <v>0</v>
      </c>
      <c r="N61" s="6">
        <f>tblDisplaySheet[[#This Row],[Logic (ms)]]</f>
        <v>1029</v>
      </c>
      <c r="O61" s="6">
        <f>tblDisplaySheet[[#This Row],[Rules (ms)]]</f>
        <v>0</v>
      </c>
      <c r="P61" s="6">
        <f>tblDisplaySheet[[#This Row],[Latency (ms)]]</f>
        <v>0</v>
      </c>
      <c r="Q61" s="6">
        <f>tblDisplaySheet[[#This Row],[Latency (ms)]]</f>
        <v>0</v>
      </c>
      <c r="R61" s="6">
        <f>tblDisplaySheet[[#This Row],[Total Process Path Length]]</f>
        <v>1029</v>
      </c>
      <c r="S61" s="6">
        <f>tblDisplaySheet[[#This Row],[Total Process Time]]</f>
        <v>1029</v>
      </c>
      <c r="T61" s="6">
        <f>tblDisplaySheet[[#This Row],[Total Process Path Length]]</f>
        <v>1029</v>
      </c>
      <c r="U61" s="6">
        <f>tblDisplaySheet[[#This Row],[Total Process Path Length NFR]]</f>
        <v>1029</v>
      </c>
      <c r="V61" s="6" t="str">
        <f>tblDisplaySheet[[#This Row],[Status]]</f>
        <v>On Target</v>
      </c>
      <c r="W61" s="6" t="str">
        <f>tblDisplaySheet[[#This Row],[Is Leaf?]]</f>
        <v>Y</v>
      </c>
      <c r="X61" s="6" t="str">
        <f>tblDisplaySheet[[#This Row],[Owner]]</f>
        <v>Alak</v>
      </c>
    </row>
    <row r="62" spans="1:24" x14ac:dyDescent="0.25">
      <c r="A62" s="6">
        <f>tblDisplaySheet[[#This Row],[Link]]</f>
        <v>50</v>
      </c>
      <c r="B62" s="6">
        <f>tblDisplaySheet[[#This Row],[Level]]</f>
        <v>9</v>
      </c>
      <c r="C62" s="6">
        <f>tblDisplaySheet[[#This Row],[Sl.No]]</f>
        <v>60</v>
      </c>
      <c r="D62" s="6" t="str">
        <f>tblDisplaySheet[[#This Row],[Group]]</f>
        <v>Service Level - Pricing Engine</v>
      </c>
      <c r="E62" s="6" t="str">
        <f>TEXT(tblInputSheet[[#This Row],[Sl.No]], "000")&amp; ":"&amp; tblInputSheet[[#This Row],[Process]]</f>
        <v>060:UPF (National Modules) Mule Adapter</v>
      </c>
      <c r="F62" s="6" t="str">
        <f>IFERROR(IF(tblInputSheet[[#This Row],[Hosted Platform]] = "-", "", VLOOKUP(tblInputSheet[[#This Row],[Hosted Platform]], tblHosted_PlatformOwner[], 2,FALSE)), "")</f>
        <v>CC002</v>
      </c>
      <c r="G62" s="6" t="str">
        <f>IFERROR(IF(tblInputSheet[[#This Row],[Provider]] = "-", "", VLOOKUP(tblInputSheet[[#This Row],[Provider]], tblParticipants[], 2,FALSE)), "")</f>
        <v>PP001</v>
      </c>
      <c r="H62" s="6" t="str">
        <f>IFERROR(IF(tblInputSheet[[#This Row],[Consumer]] = "-", "", VLOOKUP(tblInputSheet[[#This Row],[Consumer]], tblParticipants[], 2,FALSE)), "")</f>
        <v>PP014</v>
      </c>
      <c r="I62" s="6" t="str">
        <f>IFERROR(IF(tblInputSheet[[#This Row],[Integration Pattern]] = "-", "", VLOOKUP(tblInputSheet[[#This Row],[Integration Pattern]], tblIntegrationPartten[], 2,FALSE)), "")</f>
        <v>IP004</v>
      </c>
      <c r="J62" s="6" t="str">
        <f>tblDisplaySheet[[#This Row],[Current State]]</f>
        <v>Y</v>
      </c>
      <c r="K62" s="6" t="str">
        <f>tblDisplaySheet[[#This Row],[Confidence Factor]]</f>
        <v>Low</v>
      </c>
      <c r="L62" s="6">
        <f>tblDisplaySheet[[#This Row],[Count of Invocations]]</f>
        <v>1</v>
      </c>
      <c r="M62" s="6" t="str">
        <f>tblDisplaySheet[[#This Row],[DB Calls (ms)]]</f>
        <v>`</v>
      </c>
      <c r="N62" s="6">
        <f>tblDisplaySheet[[#This Row],[Logic (ms)]]</f>
        <v>65</v>
      </c>
      <c r="O62" s="6">
        <f>tblDisplaySheet[[#This Row],[Rules (ms)]]</f>
        <v>0</v>
      </c>
      <c r="P62" s="6">
        <f>tblDisplaySheet[[#This Row],[Latency (ms)]]</f>
        <v>50</v>
      </c>
      <c r="Q62" s="6">
        <f>tblDisplaySheet[[#This Row],[Latency (ms)]]</f>
        <v>50</v>
      </c>
      <c r="R62" s="6">
        <f>tblDisplaySheet[[#This Row],[Total Process Path Length]]</f>
        <v>151</v>
      </c>
      <c r="S62" s="6">
        <f>tblDisplaySheet[[#This Row],[Total Process Time]]</f>
        <v>115</v>
      </c>
      <c r="T62" s="6">
        <f>tblDisplaySheet[[#This Row],[Total Process Path Length]]</f>
        <v>151</v>
      </c>
      <c r="U62" s="6">
        <f>tblDisplaySheet[[#This Row],[Total Process Path Length NFR]]</f>
        <v>166</v>
      </c>
      <c r="V62" s="6" t="str">
        <f>tblDisplaySheet[[#This Row],[Status]]</f>
        <v>On Target</v>
      </c>
      <c r="W62" s="6" t="str">
        <f>tblDisplaySheet[[#This Row],[Is Leaf?]]</f>
        <v>N</v>
      </c>
      <c r="X62" s="6" t="str">
        <f>tblDisplaySheet[[#This Row],[Owner]]</f>
        <v>Alak</v>
      </c>
    </row>
    <row r="63" spans="1:24" x14ac:dyDescent="0.25">
      <c r="A63" s="6">
        <f>tblDisplaySheet[[#This Row],[Link]]</f>
        <v>60</v>
      </c>
      <c r="B63" s="6">
        <f>tblDisplaySheet[[#This Row],[Level]]</f>
        <v>10</v>
      </c>
      <c r="C63" s="6">
        <f>tblDisplaySheet[[#This Row],[Sl.No]]</f>
        <v>61</v>
      </c>
      <c r="D63" s="6" t="str">
        <f>tblDisplaySheet[[#This Row],[Group]]</f>
        <v>Service Level - Pricing Engine</v>
      </c>
      <c r="E63" s="6" t="str">
        <f>TEXT(tblInputSheet[[#This Row],[Sl.No]], "000")&amp; ":"&amp; tblInputSheet[[#This Row],[Process]]</f>
        <v>061:Invoker</v>
      </c>
      <c r="F63" s="6" t="str">
        <f>IFERROR(IF(tblInputSheet[[#This Row],[Hosted Platform]] = "-", "", VLOOKUP(tblInputSheet[[#This Row],[Hosted Platform]], tblHosted_PlatformOwner[], 2,FALSE)), "")</f>
        <v>CC004</v>
      </c>
      <c r="G63" s="6" t="str">
        <f>IFERROR(IF(tblInputSheet[[#This Row],[Provider]] = "-", "", VLOOKUP(tblInputSheet[[#This Row],[Provider]], tblParticipants[], 2,FALSE)), "")</f>
        <v>PP004</v>
      </c>
      <c r="H63" s="6" t="str">
        <f>IFERROR(IF(tblInputSheet[[#This Row],[Consumer]] = "-", "", VLOOKUP(tblInputSheet[[#This Row],[Consumer]], tblParticipants[], 2,FALSE)), "")</f>
        <v>PP004</v>
      </c>
      <c r="I63" s="6" t="str">
        <f>IFERROR(IF(tblInputSheet[[#This Row],[Integration Pattern]] = "-", "", VLOOKUP(tblInputSheet[[#This Row],[Integration Pattern]], tblIntegrationPartten[], 2,FALSE)), "")</f>
        <v>IP010</v>
      </c>
      <c r="J63" s="6" t="str">
        <f>tblDisplaySheet[[#This Row],[Current State]]</f>
        <v>Y</v>
      </c>
      <c r="K63" s="6" t="str">
        <f>tblDisplaySheet[[#This Row],[Confidence Factor]]</f>
        <v>Medium</v>
      </c>
      <c r="L63" s="6">
        <f>tblDisplaySheet[[#This Row],[Count of Invocations]]</f>
        <v>1</v>
      </c>
      <c r="M63" s="6">
        <f>tblDisplaySheet[[#This Row],[DB Calls (ms)]]</f>
        <v>0</v>
      </c>
      <c r="N63" s="6">
        <f>tblDisplaySheet[[#This Row],[Logic (ms)]]</f>
        <v>1</v>
      </c>
      <c r="O63" s="6">
        <f>tblDisplaySheet[[#This Row],[Rules (ms)]]</f>
        <v>0</v>
      </c>
      <c r="P63" s="6">
        <f>tblDisplaySheet[[#This Row],[Latency (ms)]]</f>
        <v>0</v>
      </c>
      <c r="Q63" s="6">
        <f>tblDisplaySheet[[#This Row],[Latency (ms)]]</f>
        <v>0</v>
      </c>
      <c r="R63" s="6">
        <f>tblDisplaySheet[[#This Row],[Total Process Path Length]]</f>
        <v>36</v>
      </c>
      <c r="S63" s="6">
        <f>tblDisplaySheet[[#This Row],[Total Process Time]]</f>
        <v>1</v>
      </c>
      <c r="T63" s="6">
        <f>tblDisplaySheet[[#This Row],[Total Process Path Length]]</f>
        <v>36</v>
      </c>
      <c r="U63" s="6">
        <f>tblDisplaySheet[[#This Row],[Total Process Path Length NFR]]</f>
        <v>51</v>
      </c>
      <c r="V63" s="6" t="str">
        <f>tblDisplaySheet[[#This Row],[Status]]</f>
        <v>On Target</v>
      </c>
      <c r="W63" s="6" t="str">
        <f>tblDisplaySheet[[#This Row],[Is Leaf?]]</f>
        <v>N</v>
      </c>
      <c r="X63" s="6" t="str">
        <f>tblDisplaySheet[[#This Row],[Owner]]</f>
        <v>Alak</v>
      </c>
    </row>
    <row r="64" spans="1:24" x14ac:dyDescent="0.25">
      <c r="A64" s="6">
        <f>tblDisplaySheet[[#This Row],[Link]]</f>
        <v>61</v>
      </c>
      <c r="B64" s="6">
        <f>tblDisplaySheet[[#This Row],[Level]]</f>
        <v>11</v>
      </c>
      <c r="C64" s="6">
        <f>tblDisplaySheet[[#This Row],[Sl.No]]</f>
        <v>62</v>
      </c>
      <c r="D64" s="6" t="str">
        <f>tblDisplaySheet[[#This Row],[Group]]</f>
        <v>Service Level - Pricing Engine</v>
      </c>
      <c r="E64" s="6" t="str">
        <f>TEXT(tblInputSheet[[#This Row],[Sl.No]], "000")&amp; ":"&amp; tblInputSheet[[#This Row],[Process]]</f>
        <v>062:UPF (National Modules) Module</v>
      </c>
      <c r="F64" s="6" t="str">
        <f>IFERROR(IF(tblInputSheet[[#This Row],[Hosted Platform]] = "-", "", VLOOKUP(tblInputSheet[[#This Row],[Hosted Platform]], tblHosted_PlatformOwner[], 2,FALSE)), "")</f>
        <v>CC004</v>
      </c>
      <c r="G64" s="6" t="str">
        <f>IFERROR(IF(tblInputSheet[[#This Row],[Provider]] = "-", "", VLOOKUP(tblInputSheet[[#This Row],[Provider]], tblParticipants[], 2,FALSE)), "")</f>
        <v>PP010</v>
      </c>
      <c r="H64" s="6" t="str">
        <f>IFERROR(IF(tblInputSheet[[#This Row],[Consumer]] = "-", "", VLOOKUP(tblInputSheet[[#This Row],[Consumer]], tblParticipants[], 2,FALSE)), "")</f>
        <v>PP004</v>
      </c>
      <c r="I64" s="6" t="str">
        <f>IFERROR(IF(tblInputSheet[[#This Row],[Integration Pattern]] = "-", "", VLOOKUP(tblInputSheet[[#This Row],[Integration Pattern]], tblIntegrationPartten[], 2,FALSE)), "")</f>
        <v>IP010</v>
      </c>
      <c r="J64" s="6" t="str">
        <f>tblDisplaySheet[[#This Row],[Current State]]</f>
        <v>Y</v>
      </c>
      <c r="K64" s="6" t="str">
        <f>tblDisplaySheet[[#This Row],[Confidence Factor]]</f>
        <v>Low</v>
      </c>
      <c r="L64" s="6">
        <f>tblDisplaySheet[[#This Row],[Count of Invocations]]</f>
        <v>1</v>
      </c>
      <c r="M64" s="6">
        <f>tblDisplaySheet[[#This Row],[DB Calls (ms)]]</f>
        <v>0</v>
      </c>
      <c r="N64" s="6">
        <f>tblDisplaySheet[[#This Row],[Logic (ms)]]</f>
        <v>20</v>
      </c>
      <c r="O64" s="6">
        <f>tblDisplaySheet[[#This Row],[Rules (ms)]]</f>
        <v>0</v>
      </c>
      <c r="P64" s="6">
        <f>tblDisplaySheet[[#This Row],[Latency (ms)]]</f>
        <v>15</v>
      </c>
      <c r="Q64" s="6">
        <f>tblDisplaySheet[[#This Row],[Latency (ms)]]</f>
        <v>15</v>
      </c>
      <c r="R64" s="6">
        <f>tblDisplaySheet[[#This Row],[Total Process Path Length]]</f>
        <v>35</v>
      </c>
      <c r="S64" s="6">
        <f>tblDisplaySheet[[#This Row],[Total Process Time]]</f>
        <v>35</v>
      </c>
      <c r="T64" s="6">
        <f>tblDisplaySheet[[#This Row],[Total Process Path Length]]</f>
        <v>35</v>
      </c>
      <c r="U64" s="6">
        <f>tblDisplaySheet[[#This Row],[Total Process Path Length NFR]]</f>
        <v>50</v>
      </c>
      <c r="V64" s="6" t="str">
        <f>tblDisplaySheet[[#This Row],[Status]]</f>
        <v>On Target</v>
      </c>
      <c r="W64" s="6" t="str">
        <f>tblDisplaySheet[[#This Row],[Is Leaf?]]</f>
        <v>Y</v>
      </c>
      <c r="X64" s="6" t="str">
        <f>tblDisplaySheet[[#This Row],[Owner]]</f>
        <v>Alak</v>
      </c>
    </row>
    <row r="65" spans="1:24" x14ac:dyDescent="0.25">
      <c r="A65" s="6">
        <f>tblDisplaySheet[[#This Row],[Link]]</f>
        <v>50</v>
      </c>
      <c r="B65" s="6">
        <f>tblDisplaySheet[[#This Row],[Level]]</f>
        <v>9</v>
      </c>
      <c r="C65" s="6">
        <f>tblDisplaySheet[[#This Row],[Sl.No]]</f>
        <v>63</v>
      </c>
      <c r="D65" s="6" t="str">
        <f>tblDisplaySheet[[#This Row],[Group]]</f>
        <v>Service Level - Pricing Engine</v>
      </c>
      <c r="E65" s="6" t="str">
        <f>TEXT(tblInputSheet[[#This Row],[Sl.No]], "000")&amp; ":"&amp; tblInputSheet[[#This Row],[Process]]</f>
        <v>063:AOC Vendor Request Service</v>
      </c>
      <c r="F65" s="6" t="str">
        <f>IFERROR(IF(tblInputSheet[[#This Row],[Hosted Platform]] = "-", "", VLOOKUP(tblInputSheet[[#This Row],[Hosted Platform]], tblHosted_PlatformOwner[], 2,FALSE)), "")</f>
        <v>CC001</v>
      </c>
      <c r="G65" s="6" t="str">
        <f>IFERROR(IF(tblInputSheet[[#This Row],[Provider]] = "-", "", VLOOKUP(tblInputSheet[[#This Row],[Provider]], tblParticipants[], 2,FALSE)), "")</f>
        <v>PP001</v>
      </c>
      <c r="H65" s="6" t="str">
        <f>IFERROR(IF(tblInputSheet[[#This Row],[Consumer]] = "-", "", VLOOKUP(tblInputSheet[[#This Row],[Consumer]], tblParticipants[], 2,FALSE)), "")</f>
        <v>PP001</v>
      </c>
      <c r="I65" s="6" t="str">
        <f>IFERROR(IF(tblInputSheet[[#This Row],[Integration Pattern]] = "-", "", VLOOKUP(tblInputSheet[[#This Row],[Integration Pattern]], tblIntegrationPartten[], 2,FALSE)), "")</f>
        <v>IP002</v>
      </c>
      <c r="J65" s="6" t="str">
        <f>tblDisplaySheet[[#This Row],[Current State]]</f>
        <v>Y</v>
      </c>
      <c r="K65" s="6" t="str">
        <f>tblDisplaySheet[[#This Row],[Confidence Factor]]</f>
        <v>Low</v>
      </c>
      <c r="L65" s="6">
        <f>tblDisplaySheet[[#This Row],[Count of Invocations]]</f>
        <v>1</v>
      </c>
      <c r="M65" s="6">
        <f>tblDisplaySheet[[#This Row],[DB Calls (ms)]]</f>
        <v>0</v>
      </c>
      <c r="N65" s="6">
        <f>tblDisplaySheet[[#This Row],[Logic (ms)]]</f>
        <v>20</v>
      </c>
      <c r="O65" s="6">
        <f>tblDisplaySheet[[#This Row],[Rules (ms)]]</f>
        <v>0</v>
      </c>
      <c r="P65" s="6">
        <f>tblDisplaySheet[[#This Row],[Latency (ms)]]</f>
        <v>15</v>
      </c>
      <c r="Q65" s="6">
        <f>tblDisplaySheet[[#This Row],[Latency (ms)]]</f>
        <v>15</v>
      </c>
      <c r="R65" s="6">
        <f>tblDisplaySheet[[#This Row],[Total Process Path Length]]</f>
        <v>35</v>
      </c>
      <c r="S65" s="6">
        <f>tblDisplaySheet[[#This Row],[Total Process Time]]</f>
        <v>35</v>
      </c>
      <c r="T65" s="6">
        <f>tblDisplaySheet[[#This Row],[Total Process Path Length]]</f>
        <v>35</v>
      </c>
      <c r="U65" s="6">
        <f>tblDisplaySheet[[#This Row],[Total Process Path Length NFR]]</f>
        <v>50</v>
      </c>
      <c r="V65" s="6" t="str">
        <f>tblDisplaySheet[[#This Row],[Status]]</f>
        <v>On Target</v>
      </c>
      <c r="W65" s="6" t="str">
        <f>tblDisplaySheet[[#This Row],[Is Leaf?]]</f>
        <v>Y</v>
      </c>
      <c r="X65" s="6" t="str">
        <f>tblDisplaySheet[[#This Row],[Owner]]</f>
        <v>Alak</v>
      </c>
    </row>
    <row r="66" spans="1:24" x14ac:dyDescent="0.25">
      <c r="A66" s="6">
        <f>tblDisplaySheet[[#This Row],[Link]]</f>
        <v>50</v>
      </c>
      <c r="B66" s="6">
        <f>tblDisplaySheet[[#This Row],[Level]]</f>
        <v>9</v>
      </c>
      <c r="C66" s="6">
        <f>tblDisplaySheet[[#This Row],[Sl.No]]</f>
        <v>64</v>
      </c>
      <c r="D66" s="6" t="str">
        <f>tblDisplaySheet[[#This Row],[Group]]</f>
        <v>Service Level - Pricing Engine</v>
      </c>
      <c r="E66" s="6" t="str">
        <f>TEXT(tblInputSheet[[#This Row],[Sl.No]], "000")&amp; ":"&amp; tblInputSheet[[#This Row],[Process]]</f>
        <v>064:AOC Vendor Response Service</v>
      </c>
      <c r="F66" s="6" t="str">
        <f>IFERROR(IF(tblInputSheet[[#This Row],[Hosted Platform]] = "-", "", VLOOKUP(tblInputSheet[[#This Row],[Hosted Platform]], tblHosted_PlatformOwner[], 2,FALSE)), "")</f>
        <v>CC001</v>
      </c>
      <c r="G66" s="6" t="str">
        <f>IFERROR(IF(tblInputSheet[[#This Row],[Provider]] = "-", "", VLOOKUP(tblInputSheet[[#This Row],[Provider]], tblParticipants[], 2,FALSE)), "")</f>
        <v>PP001</v>
      </c>
      <c r="H66" s="6" t="str">
        <f>IFERROR(IF(tblInputSheet[[#This Row],[Consumer]] = "-", "", VLOOKUP(tblInputSheet[[#This Row],[Consumer]], tblParticipants[], 2,FALSE)), "")</f>
        <v>PP001</v>
      </c>
      <c r="I66" s="6" t="str">
        <f>IFERROR(IF(tblInputSheet[[#This Row],[Integration Pattern]] = "-", "", VLOOKUP(tblInputSheet[[#This Row],[Integration Pattern]], tblIntegrationPartten[], 2,FALSE)), "")</f>
        <v>IP002</v>
      </c>
      <c r="J66" s="6" t="str">
        <f>tblDisplaySheet[[#This Row],[Current State]]</f>
        <v>Y</v>
      </c>
      <c r="K66" s="6" t="str">
        <f>tblDisplaySheet[[#This Row],[Confidence Factor]]</f>
        <v>Low</v>
      </c>
      <c r="L66" s="6">
        <f>tblDisplaySheet[[#This Row],[Count of Invocations]]</f>
        <v>1</v>
      </c>
      <c r="M66" s="6">
        <f>tblDisplaySheet[[#This Row],[DB Calls (ms)]]</f>
        <v>0</v>
      </c>
      <c r="N66" s="6">
        <f>tblDisplaySheet[[#This Row],[Logic (ms)]]</f>
        <v>20</v>
      </c>
      <c r="O66" s="6">
        <f>tblDisplaySheet[[#This Row],[Rules (ms)]]</f>
        <v>0</v>
      </c>
      <c r="P66" s="6">
        <f>tblDisplaySheet[[#This Row],[Latency (ms)]]</f>
        <v>15</v>
      </c>
      <c r="Q66" s="6">
        <f>tblDisplaySheet[[#This Row],[Latency (ms)]]</f>
        <v>15</v>
      </c>
      <c r="R66" s="6">
        <f>tblDisplaySheet[[#This Row],[Total Process Path Length]]</f>
        <v>35</v>
      </c>
      <c r="S66" s="6">
        <f>tblDisplaySheet[[#This Row],[Total Process Time]]</f>
        <v>35</v>
      </c>
      <c r="T66" s="6">
        <f>tblDisplaySheet[[#This Row],[Total Process Path Length]]</f>
        <v>35</v>
      </c>
      <c r="U66" s="6">
        <f>tblDisplaySheet[[#This Row],[Total Process Path Length NFR]]</f>
        <v>50</v>
      </c>
      <c r="V66" s="6" t="str">
        <f>tblDisplaySheet[[#This Row],[Status]]</f>
        <v>On Target</v>
      </c>
      <c r="W66" s="6" t="str">
        <f>tblDisplaySheet[[#This Row],[Is Leaf?]]</f>
        <v>Y</v>
      </c>
      <c r="X66" s="6" t="str">
        <f>tblDisplaySheet[[#This Row],[Owner]]</f>
        <v>Alak</v>
      </c>
    </row>
    <row r="67" spans="1:24" x14ac:dyDescent="0.25">
      <c r="A67" s="6">
        <f>tblDisplaySheet[[#This Row],[Link]]</f>
        <v>50</v>
      </c>
      <c r="B67" s="6">
        <f>tblDisplaySheet[[#This Row],[Level]]</f>
        <v>9</v>
      </c>
      <c r="C67" s="6">
        <f>tblDisplaySheet[[#This Row],[Sl.No]]</f>
        <v>65</v>
      </c>
      <c r="D67" s="6" t="str">
        <f>tblDisplaySheet[[#This Row],[Group]]</f>
        <v>Service Level - Pricing Engine</v>
      </c>
      <c r="E67" s="6" t="str">
        <f>TEXT(tblInputSheet[[#This Row],[Sl.No]], "000")&amp; ":"&amp; tblInputSheet[[#This Row],[Process]]</f>
        <v>065:TPL Microservice</v>
      </c>
      <c r="F67" s="6" t="str">
        <f>IFERROR(IF(tblInputSheet[[#This Row],[Hosted Platform]] = "-", "", VLOOKUP(tblInputSheet[[#This Row],[Hosted Platform]], tblHosted_PlatformOwner[], 2,FALSE)), "")</f>
        <v>CC001</v>
      </c>
      <c r="G67" s="6" t="str">
        <f>IFERROR(IF(tblInputSheet[[#This Row],[Provider]] = "-", "", VLOOKUP(tblInputSheet[[#This Row],[Provider]], tblParticipants[], 2,FALSE)), "")</f>
        <v>PP001</v>
      </c>
      <c r="H67" s="6" t="str">
        <f>IFERROR(IF(tblInputSheet[[#This Row],[Consumer]] = "-", "", VLOOKUP(tblInputSheet[[#This Row],[Consumer]], tblParticipants[], 2,FALSE)), "")</f>
        <v>PP001</v>
      </c>
      <c r="I67" s="6" t="str">
        <f>IFERROR(IF(tblInputSheet[[#This Row],[Integration Pattern]] = "-", "", VLOOKUP(tblInputSheet[[#This Row],[Integration Pattern]], tblIntegrationPartten[], 2,FALSE)), "")</f>
        <v>IP006</v>
      </c>
      <c r="J67" s="6" t="str">
        <f>tblDisplaySheet[[#This Row],[Current State]]</f>
        <v>Y</v>
      </c>
      <c r="K67" s="6" t="str">
        <f>tblDisplaySheet[[#This Row],[Confidence Factor]]</f>
        <v>Low</v>
      </c>
      <c r="L67" s="6">
        <f>tblDisplaySheet[[#This Row],[Count of Invocations]]</f>
        <v>1</v>
      </c>
      <c r="M67" s="6">
        <f>tblDisplaySheet[[#This Row],[DB Calls (ms)]]</f>
        <v>0</v>
      </c>
      <c r="N67" s="6">
        <f>tblDisplaySheet[[#This Row],[Logic (ms)]]</f>
        <v>20</v>
      </c>
      <c r="O67" s="6">
        <f>tblDisplaySheet[[#This Row],[Rules (ms)]]</f>
        <v>0</v>
      </c>
      <c r="P67" s="6">
        <f>tblDisplaySheet[[#This Row],[Latency (ms)]]</f>
        <v>25</v>
      </c>
      <c r="Q67" s="6">
        <f>tblDisplaySheet[[#This Row],[Latency (ms)]]</f>
        <v>25</v>
      </c>
      <c r="R67" s="6">
        <f>tblDisplaySheet[[#This Row],[Total Process Path Length]]</f>
        <v>466</v>
      </c>
      <c r="S67" s="6">
        <f>tblDisplaySheet[[#This Row],[Total Process Time]]</f>
        <v>45</v>
      </c>
      <c r="T67" s="6">
        <f>tblDisplaySheet[[#This Row],[Total Process Path Length]]</f>
        <v>466</v>
      </c>
      <c r="U67" s="6">
        <f>tblDisplaySheet[[#This Row],[Total Process Path Length NFR]]</f>
        <v>476</v>
      </c>
      <c r="V67" s="6" t="str">
        <f>tblDisplaySheet[[#This Row],[Status]]</f>
        <v>On Target</v>
      </c>
      <c r="W67" s="6" t="str">
        <f>tblDisplaySheet[[#This Row],[Is Leaf?]]</f>
        <v>N</v>
      </c>
      <c r="X67" s="6" t="str">
        <f>tblDisplaySheet[[#This Row],[Owner]]</f>
        <v>Alak</v>
      </c>
    </row>
    <row r="68" spans="1:24" x14ac:dyDescent="0.25">
      <c r="A68" s="6">
        <f>tblDisplaySheet[[#This Row],[Link]]</f>
        <v>65</v>
      </c>
      <c r="B68" s="6">
        <f>tblDisplaySheet[[#This Row],[Level]]</f>
        <v>10</v>
      </c>
      <c r="C68" s="6">
        <f>tblDisplaySheet[[#This Row],[Sl.No]]</f>
        <v>66</v>
      </c>
      <c r="D68" s="6" t="str">
        <f>tblDisplaySheet[[#This Row],[Group]]</f>
        <v>Service Level - Pricing Engine</v>
      </c>
      <c r="E68" s="6" t="str">
        <f>TEXT(tblInputSheet[[#This Row],[Sl.No]], "000")&amp; ":"&amp; tblInputSheet[[#This Row],[Process]]</f>
        <v>066:Contract API</v>
      </c>
      <c r="F68" s="6" t="str">
        <f>IFERROR(IF(tblInputSheet[[#This Row],[Hosted Platform]] = "-", "", VLOOKUP(tblInputSheet[[#This Row],[Hosted Platform]], tblHosted_PlatformOwner[], 2,FALSE)), "")</f>
        <v>CC001</v>
      </c>
      <c r="G68" s="6" t="str">
        <f>IFERROR(IF(tblInputSheet[[#This Row],[Provider]] = "-", "", VLOOKUP(tblInputSheet[[#This Row],[Provider]], tblParticipants[], 2,FALSE)), "")</f>
        <v>PP001</v>
      </c>
      <c r="H68" s="6" t="str">
        <f>IFERROR(IF(tblInputSheet[[#This Row],[Consumer]] = "-", "", VLOOKUP(tblInputSheet[[#This Row],[Consumer]], tblParticipants[], 2,FALSE)), "")</f>
        <v>PP001</v>
      </c>
      <c r="I68" s="6" t="str">
        <f>IFERROR(IF(tblInputSheet[[#This Row],[Integration Pattern]] = "-", "", VLOOKUP(tblInputSheet[[#This Row],[Integration Pattern]], tblIntegrationPartten[], 2,FALSE)), "")</f>
        <v>IP001</v>
      </c>
      <c r="J68" s="6" t="str">
        <f>tblDisplaySheet[[#This Row],[Current State]]</f>
        <v>Y</v>
      </c>
      <c r="K68" s="6" t="str">
        <f>tblDisplaySheet[[#This Row],[Confidence Factor]]</f>
        <v>Medium</v>
      </c>
      <c r="L68" s="6">
        <f>tblDisplaySheet[[#This Row],[Count of Invocations]]</f>
        <v>1</v>
      </c>
      <c r="M68" s="6">
        <f>tblDisplaySheet[[#This Row],[DB Calls (ms)]]</f>
        <v>5</v>
      </c>
      <c r="N68" s="6">
        <f>tblDisplaySheet[[#This Row],[Logic (ms)]]</f>
        <v>30</v>
      </c>
      <c r="O68" s="6">
        <f>tblDisplaySheet[[#This Row],[Rules (ms)]]</f>
        <v>0</v>
      </c>
      <c r="P68" s="6">
        <f>tblDisplaySheet[[#This Row],[Latency (ms)]]</f>
        <v>10</v>
      </c>
      <c r="Q68" s="6">
        <f>tblDisplaySheet[[#This Row],[Latency (ms)]]</f>
        <v>10</v>
      </c>
      <c r="R68" s="6">
        <f>tblDisplaySheet[[#This Row],[Total Process Path Length]]</f>
        <v>45</v>
      </c>
      <c r="S68" s="6">
        <f>tblDisplaySheet[[#This Row],[Total Process Time]]</f>
        <v>45</v>
      </c>
      <c r="T68" s="6">
        <f>tblDisplaySheet[[#This Row],[Total Process Path Length]]</f>
        <v>45</v>
      </c>
      <c r="U68" s="6">
        <f>tblDisplaySheet[[#This Row],[Total Process Path Length NFR]]</f>
        <v>50</v>
      </c>
      <c r="V68" s="6" t="str">
        <f>tblDisplaySheet[[#This Row],[Status]]</f>
        <v>On Target</v>
      </c>
      <c r="W68" s="6" t="str">
        <f>tblDisplaySheet[[#This Row],[Is Leaf?]]</f>
        <v>Y</v>
      </c>
      <c r="X68" s="6" t="str">
        <f>tblDisplaySheet[[#This Row],[Owner]]</f>
        <v>Greg</v>
      </c>
    </row>
    <row r="69" spans="1:24" x14ac:dyDescent="0.25">
      <c r="A69" s="6">
        <f>tblDisplaySheet[[#This Row],[Link]]</f>
        <v>65</v>
      </c>
      <c r="B69" s="6">
        <f>tblDisplaySheet[[#This Row],[Level]]</f>
        <v>10</v>
      </c>
      <c r="C69" s="6">
        <f>tblDisplaySheet[[#This Row],[Sl.No]]</f>
        <v>67</v>
      </c>
      <c r="D69" s="6" t="str">
        <f>tblDisplaySheet[[#This Row],[Group]]</f>
        <v>Service Level - Pricing Engine</v>
      </c>
      <c r="E69" s="6" t="str">
        <f>TEXT(tblInputSheet[[#This Row],[Sl.No]], "000")&amp; ":"&amp; tblInputSheet[[#This Row],[Process]]</f>
        <v>067:TPL Mule Adapter</v>
      </c>
      <c r="F69" s="6" t="str">
        <f>IFERROR(IF(tblInputSheet[[#This Row],[Hosted Platform]] = "-", "", VLOOKUP(tblInputSheet[[#This Row],[Hosted Platform]], tblHosted_PlatformOwner[], 2,FALSE)), "")</f>
        <v>CC002</v>
      </c>
      <c r="G69" s="6" t="str">
        <f>IFERROR(IF(tblInputSheet[[#This Row],[Provider]] = "-", "", VLOOKUP(tblInputSheet[[#This Row],[Provider]], tblParticipants[], 2,FALSE)), "")</f>
        <v>PP001</v>
      </c>
      <c r="H69" s="6" t="str">
        <f>IFERROR(IF(tblInputSheet[[#This Row],[Consumer]] = "-", "", VLOOKUP(tblInputSheet[[#This Row],[Consumer]], tblParticipants[], 2,FALSE)), "")</f>
        <v>PP014</v>
      </c>
      <c r="I69" s="6" t="str">
        <f>IFERROR(IF(tblInputSheet[[#This Row],[Integration Pattern]] = "-", "", VLOOKUP(tblInputSheet[[#This Row],[Integration Pattern]], tblIntegrationPartten[], 2,FALSE)), "")</f>
        <v>IP004</v>
      </c>
      <c r="J69" s="6" t="str">
        <f>tblDisplaySheet[[#This Row],[Current State]]</f>
        <v>Y</v>
      </c>
      <c r="K69" s="6" t="str">
        <f>tblDisplaySheet[[#This Row],[Confidence Factor]]</f>
        <v>Low</v>
      </c>
      <c r="L69" s="6">
        <f>tblDisplaySheet[[#This Row],[Count of Invocations]]</f>
        <v>1</v>
      </c>
      <c r="M69" s="6">
        <f>tblDisplaySheet[[#This Row],[DB Calls (ms)]]</f>
        <v>0</v>
      </c>
      <c r="N69" s="6">
        <f>tblDisplaySheet[[#This Row],[Logic (ms)]]</f>
        <v>70</v>
      </c>
      <c r="O69" s="6">
        <f>tblDisplaySheet[[#This Row],[Rules (ms)]]</f>
        <v>0</v>
      </c>
      <c r="P69" s="6">
        <f>tblDisplaySheet[[#This Row],[Latency (ms)]]</f>
        <v>55</v>
      </c>
      <c r="Q69" s="6">
        <f>tblDisplaySheet[[#This Row],[Latency (ms)]]</f>
        <v>55</v>
      </c>
      <c r="R69" s="6">
        <f>tblDisplaySheet[[#This Row],[Total Process Path Length]]</f>
        <v>376</v>
      </c>
      <c r="S69" s="6">
        <f>tblDisplaySheet[[#This Row],[Total Process Time]]</f>
        <v>125</v>
      </c>
      <c r="T69" s="6">
        <f>tblDisplaySheet[[#This Row],[Total Process Path Length]]</f>
        <v>376</v>
      </c>
      <c r="U69" s="6">
        <f>tblDisplaySheet[[#This Row],[Total Process Path Length NFR]]</f>
        <v>376</v>
      </c>
      <c r="V69" s="6" t="str">
        <f>tblDisplaySheet[[#This Row],[Status]]</f>
        <v>On Target</v>
      </c>
      <c r="W69" s="6" t="str">
        <f>tblDisplaySheet[[#This Row],[Is Leaf?]]</f>
        <v>N</v>
      </c>
      <c r="X69" s="6" t="str">
        <f>tblDisplaySheet[[#This Row],[Owner]]</f>
        <v>Alak</v>
      </c>
    </row>
    <row r="70" spans="1:24" x14ac:dyDescent="0.25">
      <c r="A70" s="6">
        <f>tblDisplaySheet[[#This Row],[Link]]</f>
        <v>67</v>
      </c>
      <c r="B70" s="6">
        <f>tblDisplaySheet[[#This Row],[Level]]</f>
        <v>11</v>
      </c>
      <c r="C70" s="6">
        <f>tblDisplaySheet[[#This Row],[Sl.No]]</f>
        <v>68</v>
      </c>
      <c r="D70" s="6" t="str">
        <f>tblDisplaySheet[[#This Row],[Group]]</f>
        <v>Service Level - Pricing Engine</v>
      </c>
      <c r="E70" s="6" t="str">
        <f>TEXT(tblInputSheet[[#This Row],[Sl.No]], "000")&amp; ":"&amp; tblInputSheet[[#This Row],[Process]]</f>
        <v>068:Invoker</v>
      </c>
      <c r="F70" s="6" t="str">
        <f>IFERROR(IF(tblInputSheet[[#This Row],[Hosted Platform]] = "-", "", VLOOKUP(tblInputSheet[[#This Row],[Hosted Platform]], tblHosted_PlatformOwner[], 2,FALSE)), "")</f>
        <v>CC004</v>
      </c>
      <c r="G70" s="6" t="str">
        <f>IFERROR(IF(tblInputSheet[[#This Row],[Provider]] = "-", "", VLOOKUP(tblInputSheet[[#This Row],[Provider]], tblParticipants[], 2,FALSE)), "")</f>
        <v>PP004</v>
      </c>
      <c r="H70" s="6" t="str">
        <f>IFERROR(IF(tblInputSheet[[#This Row],[Consumer]] = "-", "", VLOOKUP(tblInputSheet[[#This Row],[Consumer]], tblParticipants[], 2,FALSE)), "")</f>
        <v>PP004</v>
      </c>
      <c r="I70" s="6" t="str">
        <f>IFERROR(IF(tblInputSheet[[#This Row],[Integration Pattern]] = "-", "", VLOOKUP(tblInputSheet[[#This Row],[Integration Pattern]], tblIntegrationPartten[], 2,FALSE)), "")</f>
        <v>IP010</v>
      </c>
      <c r="J70" s="6" t="str">
        <f>tblDisplaySheet[[#This Row],[Current State]]</f>
        <v>Y</v>
      </c>
      <c r="K70" s="6" t="str">
        <f>tblDisplaySheet[[#This Row],[Confidence Factor]]</f>
        <v>Medium</v>
      </c>
      <c r="L70" s="6">
        <f>tblDisplaySheet[[#This Row],[Count of Invocations]]</f>
        <v>1</v>
      </c>
      <c r="M70" s="6">
        <f>tblDisplaySheet[[#This Row],[DB Calls (ms)]]</f>
        <v>0</v>
      </c>
      <c r="N70" s="6">
        <f>tblDisplaySheet[[#This Row],[Logic (ms)]]</f>
        <v>1</v>
      </c>
      <c r="O70" s="6">
        <f>tblDisplaySheet[[#This Row],[Rules (ms)]]</f>
        <v>0</v>
      </c>
      <c r="P70" s="6">
        <f>tblDisplaySheet[[#This Row],[Latency (ms)]]</f>
        <v>0</v>
      </c>
      <c r="Q70" s="6">
        <f>tblDisplaySheet[[#This Row],[Latency (ms)]]</f>
        <v>0</v>
      </c>
      <c r="R70" s="6">
        <f>tblDisplaySheet[[#This Row],[Total Process Path Length]]</f>
        <v>251</v>
      </c>
      <c r="S70" s="6">
        <f>tblDisplaySheet[[#This Row],[Total Process Time]]</f>
        <v>1</v>
      </c>
      <c r="T70" s="6">
        <f>tblDisplaySheet[[#This Row],[Total Process Path Length]]</f>
        <v>251</v>
      </c>
      <c r="U70" s="6">
        <f>tblDisplaySheet[[#This Row],[Total Process Path Length NFR]]</f>
        <v>251</v>
      </c>
      <c r="V70" s="6" t="str">
        <f>tblDisplaySheet[[#This Row],[Status]]</f>
        <v>On Target</v>
      </c>
      <c r="W70" s="6" t="str">
        <f>tblDisplaySheet[[#This Row],[Is Leaf?]]</f>
        <v>N</v>
      </c>
      <c r="X70" s="6" t="str">
        <f>tblDisplaySheet[[#This Row],[Owner]]</f>
        <v>Alak</v>
      </c>
    </row>
    <row r="71" spans="1:24" x14ac:dyDescent="0.25">
      <c r="A71" s="6">
        <f>tblDisplaySheet[[#This Row],[Link]]</f>
        <v>68</v>
      </c>
      <c r="B71" s="6">
        <f>tblDisplaySheet[[#This Row],[Level]]</f>
        <v>12</v>
      </c>
      <c r="C71" s="6">
        <f>tblDisplaySheet[[#This Row],[Sl.No]]</f>
        <v>69</v>
      </c>
      <c r="D71" s="6" t="str">
        <f>tblDisplaySheet[[#This Row],[Group]]</f>
        <v>Service Level - Pricing Engine</v>
      </c>
      <c r="E71" s="6" t="str">
        <f>TEXT(tblInputSheet[[#This Row],[Sl.No]], "000")&amp; ":"&amp; tblInputSheet[[#This Row],[Process]]</f>
        <v>069:TPL Legacy Module</v>
      </c>
      <c r="F71" s="6" t="str">
        <f>IFERROR(IF(tblInputSheet[[#This Row],[Hosted Platform]] = "-", "", VLOOKUP(tblInputSheet[[#This Row],[Hosted Platform]], tblHosted_PlatformOwner[], 2,FALSE)), "")</f>
        <v>CC004</v>
      </c>
      <c r="G71" s="6" t="str">
        <f>IFERROR(IF(tblInputSheet[[#This Row],[Provider]] = "-", "", VLOOKUP(tblInputSheet[[#This Row],[Provider]], tblParticipants[], 2,FALSE)), "")</f>
        <v>PP004</v>
      </c>
      <c r="H71" s="6" t="str">
        <f>IFERROR(IF(tblInputSheet[[#This Row],[Consumer]] = "-", "", VLOOKUP(tblInputSheet[[#This Row],[Consumer]], tblParticipants[], 2,FALSE)), "")</f>
        <v>PP004</v>
      </c>
      <c r="I71" s="6" t="str">
        <f>IFERROR(IF(tblInputSheet[[#This Row],[Integration Pattern]] = "-", "", VLOOKUP(tblInputSheet[[#This Row],[Integration Pattern]], tblIntegrationPartten[], 2,FALSE)), "")</f>
        <v>IP010</v>
      </c>
      <c r="J71" s="6" t="str">
        <f>tblDisplaySheet[[#This Row],[Current State]]</f>
        <v>Y</v>
      </c>
      <c r="K71" s="6" t="str">
        <f>tblDisplaySheet[[#This Row],[Confidence Factor]]</f>
        <v>Low</v>
      </c>
      <c r="L71" s="6">
        <f>tblDisplaySheet[[#This Row],[Count of Invocations]]</f>
        <v>1</v>
      </c>
      <c r="M71" s="6">
        <f>tblDisplaySheet[[#This Row],[DB Calls (ms)]]</f>
        <v>0</v>
      </c>
      <c r="N71" s="6">
        <f>tblDisplaySheet[[#This Row],[Logic (ms)]]</f>
        <v>225</v>
      </c>
      <c r="O71" s="6">
        <f>tblDisplaySheet[[#This Row],[Rules (ms)]]</f>
        <v>0</v>
      </c>
      <c r="P71" s="6">
        <f>tblDisplaySheet[[#This Row],[Latency (ms)]]</f>
        <v>25</v>
      </c>
      <c r="Q71" s="6">
        <f>tblDisplaySheet[[#This Row],[Latency (ms)]]</f>
        <v>25</v>
      </c>
      <c r="R71" s="6">
        <f>tblDisplaySheet[[#This Row],[Total Process Path Length]]</f>
        <v>250</v>
      </c>
      <c r="S71" s="6">
        <f>tblDisplaySheet[[#This Row],[Total Process Time]]</f>
        <v>250</v>
      </c>
      <c r="T71" s="6">
        <f>tblDisplaySheet[[#This Row],[Total Process Path Length]]</f>
        <v>250</v>
      </c>
      <c r="U71" s="6">
        <f>tblDisplaySheet[[#This Row],[Total Process Path Length NFR]]</f>
        <v>250</v>
      </c>
      <c r="V71" s="6" t="str">
        <f>tblDisplaySheet[[#This Row],[Status]]</f>
        <v>On Target</v>
      </c>
      <c r="W71" s="6" t="str">
        <f>tblDisplaySheet[[#This Row],[Is Leaf?]]</f>
        <v>Y</v>
      </c>
      <c r="X71" s="6" t="str">
        <f>tblDisplaySheet[[#This Row],[Owner]]</f>
        <v>Alak</v>
      </c>
    </row>
    <row r="72" spans="1:24" x14ac:dyDescent="0.25">
      <c r="A72" s="6">
        <f>tblDisplaySheet[[#This Row],[Link]]</f>
        <v>24</v>
      </c>
      <c r="B72" s="6">
        <f>tblDisplaySheet[[#This Row],[Level]]</f>
        <v>7</v>
      </c>
      <c r="C72" s="6">
        <f>tblDisplaySheet[[#This Row],[Sl.No]]</f>
        <v>70</v>
      </c>
      <c r="D72" s="6" t="str">
        <f>tblDisplaySheet[[#This Row],[Group]]</f>
        <v>Service Level - Accums</v>
      </c>
      <c r="E72" s="6" t="str">
        <f>TEXT(tblInputSheet[[#This Row],[Sl.No]], "000")&amp; ":"&amp; tblInputSheet[[#This Row],[Process]]</f>
        <v>070:Accums</v>
      </c>
      <c r="F72" s="6" t="str">
        <f>IFERROR(IF(tblInputSheet[[#This Row],[Hosted Platform]] = "-", "", VLOOKUP(tblInputSheet[[#This Row],[Hosted Platform]], tblHosted_PlatformOwner[], 2,FALSE)), "")</f>
        <v>CC000</v>
      </c>
      <c r="G72" s="6" t="str">
        <f>IFERROR(IF(tblInputSheet[[#This Row],[Provider]] = "-", "", VLOOKUP(tblInputSheet[[#This Row],[Provider]], tblParticipants[], 2,FALSE)), "")</f>
        <v>PP000</v>
      </c>
      <c r="H72" s="6" t="str">
        <f>IFERROR(IF(tblInputSheet[[#This Row],[Consumer]] = "-", "", VLOOKUP(tblInputSheet[[#This Row],[Consumer]], tblParticipants[], 2,FALSE)), "")</f>
        <v>PP000</v>
      </c>
      <c r="I72" s="6" t="str">
        <f>IFERROR(IF(tblInputSheet[[#This Row],[Integration Pattern]] = "-", "", VLOOKUP(tblInputSheet[[#This Row],[Integration Pattern]], tblIntegrationPartten[], 2,FALSE)), "")</f>
        <v>IP000</v>
      </c>
      <c r="J72" s="6" t="str">
        <f>tblDisplaySheet[[#This Row],[Current State]]</f>
        <v>Y</v>
      </c>
      <c r="K72" s="6" t="str">
        <f>tblDisplaySheet[[#This Row],[Confidence Factor]]</f>
        <v>Group</v>
      </c>
      <c r="L72" s="6">
        <f>tblDisplaySheet[[#This Row],[Count of Invocations]]</f>
        <v>1</v>
      </c>
      <c r="M72" s="6">
        <f>tblDisplaySheet[[#This Row],[DB Calls (ms)]]</f>
        <v>0</v>
      </c>
      <c r="N72" s="6">
        <f>tblDisplaySheet[[#This Row],[Logic (ms)]]</f>
        <v>0</v>
      </c>
      <c r="O72" s="6">
        <f>tblDisplaySheet[[#This Row],[Rules (ms)]]</f>
        <v>0</v>
      </c>
      <c r="P72" s="6">
        <f>tblDisplaySheet[[#This Row],[Latency (ms)]]</f>
        <v>0</v>
      </c>
      <c r="Q72" s="6">
        <f>tblDisplaySheet[[#This Row],[Latency (ms)]]</f>
        <v>0</v>
      </c>
      <c r="R72" s="6">
        <f>tblDisplaySheet[[#This Row],[Total Process Path Length]]</f>
        <v>297</v>
      </c>
      <c r="S72" s="6">
        <f>tblDisplaySheet[[#This Row],[Total Process Time]]</f>
        <v>0</v>
      </c>
      <c r="T72" s="6">
        <f>tblDisplaySheet[[#This Row],[Total Process Path Length]]</f>
        <v>297</v>
      </c>
      <c r="U72" s="6">
        <f>tblDisplaySheet[[#This Row],[Total Process Path Length NFR]]</f>
        <v>400</v>
      </c>
      <c r="V72" s="6" t="str">
        <f>tblDisplaySheet[[#This Row],[Status]]</f>
        <v>On Target</v>
      </c>
      <c r="W72" s="6" t="str">
        <f>tblDisplaySheet[[#This Row],[Is Leaf?]]</f>
        <v>G</v>
      </c>
      <c r="X72" s="6" t="str">
        <f>tblDisplaySheet[[#This Row],[Owner]]</f>
        <v>Sankar</v>
      </c>
    </row>
    <row r="73" spans="1:24" x14ac:dyDescent="0.25">
      <c r="A73" s="6">
        <f>tblDisplaySheet[[#This Row],[Link]]</f>
        <v>70</v>
      </c>
      <c r="B73" s="6">
        <f>tblDisplaySheet[[#This Row],[Level]]</f>
        <v>8</v>
      </c>
      <c r="C73" s="6">
        <f>tblDisplaySheet[[#This Row],[Sl.No]]</f>
        <v>71</v>
      </c>
      <c r="D73" s="6" t="str">
        <f>tblDisplaySheet[[#This Row],[Group]]</f>
        <v>Service Level - Accums</v>
      </c>
      <c r="E73" s="6" t="str">
        <f>TEXT(tblInputSheet[[#This Row],[Sl.No]], "000")&amp; ":"&amp; tblInputSheet[[#This Row],[Process]]</f>
        <v>071:Accums Calculation Microservice</v>
      </c>
      <c r="F73" s="6" t="str">
        <f>IFERROR(IF(tblInputSheet[[#This Row],[Hosted Platform]] = "-", "", VLOOKUP(tblInputSheet[[#This Row],[Hosted Platform]], tblHosted_PlatformOwner[], 2,FALSE)), "")</f>
        <v>CC001</v>
      </c>
      <c r="G73" s="6" t="str">
        <f>IFERROR(IF(tblInputSheet[[#This Row],[Provider]] = "-", "", VLOOKUP(tblInputSheet[[#This Row],[Provider]], tblParticipants[], 2,FALSE)), "")</f>
        <v>PP001</v>
      </c>
      <c r="H73" s="6" t="str">
        <f>IFERROR(IF(tblInputSheet[[#This Row],[Consumer]] = "-", "", VLOOKUP(tblInputSheet[[#This Row],[Consumer]], tblParticipants[], 2,FALSE)), "")</f>
        <v>PP001</v>
      </c>
      <c r="I73" s="6" t="str">
        <f>IFERROR(IF(tblInputSheet[[#This Row],[Integration Pattern]] = "-", "", VLOOKUP(tblInputSheet[[#This Row],[Integration Pattern]], tblIntegrationPartten[], 2,FALSE)), "")</f>
        <v>IP001</v>
      </c>
      <c r="J73" s="6" t="str">
        <f>tblDisplaySheet[[#This Row],[Current State]]</f>
        <v>Y</v>
      </c>
      <c r="K73" s="6" t="str">
        <f>tblDisplaySheet[[#This Row],[Confidence Factor]]</f>
        <v>Low</v>
      </c>
      <c r="L73" s="6">
        <f>tblDisplaySheet[[#This Row],[Count of Invocations]]</f>
        <v>1</v>
      </c>
      <c r="M73" s="6">
        <f>tblDisplaySheet[[#This Row],[DB Calls (ms)]]</f>
        <v>5</v>
      </c>
      <c r="N73" s="6">
        <f>tblDisplaySheet[[#This Row],[Logic (ms)]]</f>
        <v>100</v>
      </c>
      <c r="O73" s="6">
        <f>tblDisplaySheet[[#This Row],[Rules (ms)]]</f>
        <v>0</v>
      </c>
      <c r="P73" s="6">
        <f>tblDisplaySheet[[#This Row],[Latency (ms)]]</f>
        <v>5</v>
      </c>
      <c r="Q73" s="6">
        <f>tblDisplaySheet[[#This Row],[Latency (ms)]]</f>
        <v>5</v>
      </c>
      <c r="R73" s="6">
        <f>tblDisplaySheet[[#This Row],[Total Process Path Length]]</f>
        <v>177</v>
      </c>
      <c r="S73" s="6">
        <f>tblDisplaySheet[[#This Row],[Total Process Time]]</f>
        <v>110</v>
      </c>
      <c r="T73" s="6">
        <f>tblDisplaySheet[[#This Row],[Total Process Path Length]]</f>
        <v>177</v>
      </c>
      <c r="U73" s="6">
        <f>tblDisplaySheet[[#This Row],[Total Process Path Length NFR]]</f>
        <v>250</v>
      </c>
      <c r="V73" s="6" t="str">
        <f>tblDisplaySheet[[#This Row],[Status]]</f>
        <v>On Target</v>
      </c>
      <c r="W73" s="6" t="str">
        <f>tblDisplaySheet[[#This Row],[Is Leaf?]]</f>
        <v>N</v>
      </c>
      <c r="X73" s="6" t="str">
        <f>tblDisplaySheet[[#This Row],[Owner]]</f>
        <v>Sankar</v>
      </c>
    </row>
    <row r="74" spans="1:24" x14ac:dyDescent="0.25">
      <c r="A74" s="6">
        <f>tblDisplaySheet[[#This Row],[Link]]</f>
        <v>71</v>
      </c>
      <c r="B74" s="6">
        <f>tblDisplaySheet[[#This Row],[Level]]</f>
        <v>9</v>
      </c>
      <c r="C74" s="6">
        <f>tblDisplaySheet[[#This Row],[Sl.No]]</f>
        <v>72</v>
      </c>
      <c r="D74" s="6" t="str">
        <f>tblDisplaySheet[[#This Row],[Group]]</f>
        <v>Service Level - Accums</v>
      </c>
      <c r="E74" s="6" t="str">
        <f>TEXT(tblInputSheet[[#This Row],[Sl.No]], "000")&amp; ":"&amp; tblInputSheet[[#This Row],[Process]]</f>
        <v>072:Contract API</v>
      </c>
      <c r="F74" s="6" t="str">
        <f>IFERROR(IF(tblInputSheet[[#This Row],[Hosted Platform]] = "-", "", VLOOKUP(tblInputSheet[[#This Row],[Hosted Platform]], tblHosted_PlatformOwner[], 2,FALSE)), "")</f>
        <v>CC001</v>
      </c>
      <c r="G74" s="6" t="str">
        <f>IFERROR(IF(tblInputSheet[[#This Row],[Provider]] = "-", "", VLOOKUP(tblInputSheet[[#This Row],[Provider]], tblParticipants[], 2,FALSE)), "")</f>
        <v>PP001</v>
      </c>
      <c r="H74" s="6" t="str">
        <f>IFERROR(IF(tblInputSheet[[#This Row],[Consumer]] = "-", "", VLOOKUP(tblInputSheet[[#This Row],[Consumer]], tblParticipants[], 2,FALSE)), "")</f>
        <v>PP001</v>
      </c>
      <c r="I74" s="6" t="str">
        <f>IFERROR(IF(tblInputSheet[[#This Row],[Integration Pattern]] = "-", "", VLOOKUP(tblInputSheet[[#This Row],[Integration Pattern]], tblIntegrationPartten[], 2,FALSE)), "")</f>
        <v>IP001</v>
      </c>
      <c r="J74" s="6" t="str">
        <f>tblDisplaySheet[[#This Row],[Current State]]</f>
        <v>Y</v>
      </c>
      <c r="K74" s="6" t="str">
        <f>tblDisplaySheet[[#This Row],[Confidence Factor]]</f>
        <v>Medium</v>
      </c>
      <c r="L74" s="6">
        <f>tblDisplaySheet[[#This Row],[Count of Invocations]]</f>
        <v>1</v>
      </c>
      <c r="M74" s="6">
        <f>tblDisplaySheet[[#This Row],[DB Calls (ms)]]</f>
        <v>5</v>
      </c>
      <c r="N74" s="6">
        <f>tblDisplaySheet[[#This Row],[Logic (ms)]]</f>
        <v>30</v>
      </c>
      <c r="O74" s="6">
        <f>tblDisplaySheet[[#This Row],[Rules (ms)]]</f>
        <v>0</v>
      </c>
      <c r="P74" s="6">
        <f>tblDisplaySheet[[#This Row],[Latency (ms)]]</f>
        <v>10</v>
      </c>
      <c r="Q74" s="6">
        <f>tblDisplaySheet[[#This Row],[Latency (ms)]]</f>
        <v>10</v>
      </c>
      <c r="R74" s="6">
        <f>tblDisplaySheet[[#This Row],[Total Process Path Length]]</f>
        <v>45</v>
      </c>
      <c r="S74" s="6">
        <f>tblDisplaySheet[[#This Row],[Total Process Time]]</f>
        <v>45</v>
      </c>
      <c r="T74" s="6">
        <f>tblDisplaySheet[[#This Row],[Total Process Path Length]]</f>
        <v>45</v>
      </c>
      <c r="U74" s="6">
        <f>tblDisplaySheet[[#This Row],[Total Process Path Length NFR]]</f>
        <v>50</v>
      </c>
      <c r="V74" s="6" t="str">
        <f>tblDisplaySheet[[#This Row],[Status]]</f>
        <v>On Target</v>
      </c>
      <c r="W74" s="6" t="str">
        <f>tblDisplaySheet[[#This Row],[Is Leaf?]]</f>
        <v>Y</v>
      </c>
      <c r="X74" s="6" t="str">
        <f>tblDisplaySheet[[#This Row],[Owner]]</f>
        <v>Greg</v>
      </c>
    </row>
    <row r="75" spans="1:24" x14ac:dyDescent="0.25">
      <c r="A75" s="6">
        <f>tblDisplaySheet[[#This Row],[Link]]</f>
        <v>71</v>
      </c>
      <c r="B75" s="6">
        <f>tblDisplaySheet[[#This Row],[Level]]</f>
        <v>9</v>
      </c>
      <c r="C75" s="6">
        <f>tblDisplaySheet[[#This Row],[Sl.No]]</f>
        <v>73</v>
      </c>
      <c r="D75" s="6" t="str">
        <f>tblDisplaySheet[[#This Row],[Group]]</f>
        <v>Service Level - Accums</v>
      </c>
      <c r="E75" s="6" t="str">
        <f>TEXT(tblInputSheet[[#This Row],[Sl.No]], "000")&amp; ":"&amp; tblInputSheet[[#This Row],[Process]]</f>
        <v>073:Reference Lookup Microservice</v>
      </c>
      <c r="F75" s="6" t="str">
        <f>IFERROR(IF(tblInputSheet[[#This Row],[Hosted Platform]] = "-", "", VLOOKUP(tblInputSheet[[#This Row],[Hosted Platform]], tblHosted_PlatformOwner[], 2,FALSE)), "")</f>
        <v>CC001</v>
      </c>
      <c r="G75" s="6" t="str">
        <f>IFERROR(IF(tblInputSheet[[#This Row],[Provider]] = "-", "", VLOOKUP(tblInputSheet[[#This Row],[Provider]], tblParticipants[], 2,FALSE)), "")</f>
        <v>PP001</v>
      </c>
      <c r="H75" s="6" t="str">
        <f>IFERROR(IF(tblInputSheet[[#This Row],[Consumer]] = "-", "", VLOOKUP(tblInputSheet[[#This Row],[Consumer]], tblParticipants[], 2,FALSE)), "")</f>
        <v>PP001</v>
      </c>
      <c r="I75" s="6" t="str">
        <f>IFERROR(IF(tblInputSheet[[#This Row],[Integration Pattern]] = "-", "", VLOOKUP(tblInputSheet[[#This Row],[Integration Pattern]], tblIntegrationPartten[], 2,FALSE)), "")</f>
        <v>IP001</v>
      </c>
      <c r="J75" s="6" t="str">
        <f>tblDisplaySheet[[#This Row],[Current State]]</f>
        <v>Y</v>
      </c>
      <c r="K75" s="6" t="str">
        <f>tblDisplaySheet[[#This Row],[Confidence Factor]]</f>
        <v>High</v>
      </c>
      <c r="L75" s="6">
        <f>tblDisplaySheet[[#This Row],[Count of Invocations]]</f>
        <v>2</v>
      </c>
      <c r="M75" s="6">
        <f>tblDisplaySheet[[#This Row],[DB Calls (ms)]]</f>
        <v>1</v>
      </c>
      <c r="N75" s="6">
        <f>tblDisplaySheet[[#This Row],[Logic (ms)]]</f>
        <v>5</v>
      </c>
      <c r="O75" s="6">
        <f>tblDisplaySheet[[#This Row],[Rules (ms)]]</f>
        <v>0</v>
      </c>
      <c r="P75" s="6">
        <f>tblDisplaySheet[[#This Row],[Latency (ms)]]</f>
        <v>5</v>
      </c>
      <c r="Q75" s="6">
        <f>tblDisplaySheet[[#This Row],[Latency (ms)]]</f>
        <v>5</v>
      </c>
      <c r="R75" s="6">
        <f>tblDisplaySheet[[#This Row],[Total Process Path Length]]</f>
        <v>22</v>
      </c>
      <c r="S75" s="6">
        <f>tblDisplaySheet[[#This Row],[Total Process Time]]</f>
        <v>22</v>
      </c>
      <c r="T75" s="6">
        <f>tblDisplaySheet[[#This Row],[Total Process Path Length]]</f>
        <v>22</v>
      </c>
      <c r="U75" s="6">
        <f>tblDisplaySheet[[#This Row],[Total Process Path Length NFR]]</f>
        <v>60</v>
      </c>
      <c r="V75" s="6" t="str">
        <f>tblDisplaySheet[[#This Row],[Status]]</f>
        <v>On Target</v>
      </c>
      <c r="W75" s="6" t="str">
        <f>tblDisplaySheet[[#This Row],[Is Leaf?]]</f>
        <v>Y</v>
      </c>
      <c r="X75" s="6" t="str">
        <f>tblDisplaySheet[[#This Row],[Owner]]</f>
        <v>Sankar</v>
      </c>
    </row>
    <row r="76" spans="1:24" x14ac:dyDescent="0.25">
      <c r="A76" s="6">
        <f>tblDisplaySheet[[#This Row],[Link]]</f>
        <v>70</v>
      </c>
      <c r="B76" s="6">
        <f>tblDisplaySheet[[#This Row],[Level]]</f>
        <v>8</v>
      </c>
      <c r="C76" s="6">
        <f>tblDisplaySheet[[#This Row],[Sl.No]]</f>
        <v>74</v>
      </c>
      <c r="D76" s="6" t="str">
        <f>tblDisplaySheet[[#This Row],[Group]]</f>
        <v>Service Level - Accums</v>
      </c>
      <c r="E76" s="6" t="str">
        <f>TEXT(tblInputSheet[[#This Row],[Sl.No]], "000")&amp; ":"&amp; tblInputSheet[[#This Row],[Process]]</f>
        <v>074:DME Calculation Microservice</v>
      </c>
      <c r="F76" s="6" t="str">
        <f>IFERROR(IF(tblInputSheet[[#This Row],[Hosted Platform]] = "-", "", VLOOKUP(tblInputSheet[[#This Row],[Hosted Platform]], tblHosted_PlatformOwner[], 2,FALSE)), "")</f>
        <v>CC001</v>
      </c>
      <c r="G76" s="6" t="str">
        <f>IFERROR(IF(tblInputSheet[[#This Row],[Provider]] = "-", "", VLOOKUP(tblInputSheet[[#This Row],[Provider]], tblParticipants[], 2,FALSE)), "")</f>
        <v>PP001</v>
      </c>
      <c r="H76" s="6" t="str">
        <f>IFERROR(IF(tblInputSheet[[#This Row],[Consumer]] = "-", "", VLOOKUP(tblInputSheet[[#This Row],[Consumer]], tblParticipants[], 2,FALSE)), "")</f>
        <v>PP001</v>
      </c>
      <c r="I76" s="6" t="str">
        <f>IFERROR(IF(tblInputSheet[[#This Row],[Integration Pattern]] = "-", "", VLOOKUP(tblInputSheet[[#This Row],[Integration Pattern]], tblIntegrationPartten[], 2,FALSE)), "")</f>
        <v>IP001</v>
      </c>
      <c r="J76" s="6" t="str">
        <f>tblDisplaySheet[[#This Row],[Current State]]</f>
        <v>Y</v>
      </c>
      <c r="K76" s="6" t="str">
        <f>tblDisplaySheet[[#This Row],[Confidence Factor]]</f>
        <v>Low</v>
      </c>
      <c r="L76" s="6">
        <f>tblDisplaySheet[[#This Row],[Count of Invocations]]</f>
        <v>0</v>
      </c>
      <c r="M76" s="6">
        <f>tblDisplaySheet[[#This Row],[DB Calls (ms)]]</f>
        <v>5</v>
      </c>
      <c r="N76" s="6">
        <f>tblDisplaySheet[[#This Row],[Logic (ms)]]</f>
        <v>100</v>
      </c>
      <c r="O76" s="6">
        <f>tblDisplaySheet[[#This Row],[Rules (ms)]]</f>
        <v>0</v>
      </c>
      <c r="P76" s="6">
        <f>tblDisplaySheet[[#This Row],[Latency (ms)]]</f>
        <v>5</v>
      </c>
      <c r="Q76" s="6">
        <f>tblDisplaySheet[[#This Row],[Latency (ms)]]</f>
        <v>5</v>
      </c>
      <c r="R76" s="6">
        <f>tblDisplaySheet[[#This Row],[Total Process Path Length]]</f>
        <v>0</v>
      </c>
      <c r="S76" s="6">
        <f>tblDisplaySheet[[#This Row],[Total Process Time]]</f>
        <v>0</v>
      </c>
      <c r="T76" s="6">
        <f>tblDisplaySheet[[#This Row],[Total Process Path Length]]</f>
        <v>0</v>
      </c>
      <c r="U76" s="6">
        <f>tblDisplaySheet[[#This Row],[Total Process Path Length NFR]]</f>
        <v>0</v>
      </c>
      <c r="V76" s="6" t="str">
        <f>tblDisplaySheet[[#This Row],[Status]]</f>
        <v>On Target</v>
      </c>
      <c r="W76" s="6" t="str">
        <f>tblDisplaySheet[[#This Row],[Is Leaf?]]</f>
        <v>N</v>
      </c>
      <c r="X76" s="6" t="str">
        <f>tblDisplaySheet[[#This Row],[Owner]]</f>
        <v>Sankar</v>
      </c>
    </row>
    <row r="77" spans="1:24" x14ac:dyDescent="0.25">
      <c r="A77" s="6">
        <f>tblDisplaySheet[[#This Row],[Link]]</f>
        <v>74</v>
      </c>
      <c r="B77" s="6">
        <f>tblDisplaySheet[[#This Row],[Level]]</f>
        <v>9</v>
      </c>
      <c r="C77" s="6">
        <f>tblDisplaySheet[[#This Row],[Sl.No]]</f>
        <v>75</v>
      </c>
      <c r="D77" s="6" t="str">
        <f>tblDisplaySheet[[#This Row],[Group]]</f>
        <v>Service Level - Accums</v>
      </c>
      <c r="E77" s="6" t="str">
        <f>TEXT(tblInputSheet[[#This Row],[Sl.No]], "000")&amp; ":"&amp; tblInputSheet[[#This Row],[Process]]</f>
        <v>075:Contract API</v>
      </c>
      <c r="F77" s="6" t="str">
        <f>IFERROR(IF(tblInputSheet[[#This Row],[Hosted Platform]] = "-", "", VLOOKUP(tblInputSheet[[#This Row],[Hosted Platform]], tblHosted_PlatformOwner[], 2,FALSE)), "")</f>
        <v>CC001</v>
      </c>
      <c r="G77" s="6" t="str">
        <f>IFERROR(IF(tblInputSheet[[#This Row],[Provider]] = "-", "", VLOOKUP(tblInputSheet[[#This Row],[Provider]], tblParticipants[], 2,FALSE)), "")</f>
        <v>PP001</v>
      </c>
      <c r="H77" s="6" t="str">
        <f>IFERROR(IF(tblInputSheet[[#This Row],[Consumer]] = "-", "", VLOOKUP(tblInputSheet[[#This Row],[Consumer]], tblParticipants[], 2,FALSE)), "")</f>
        <v>PP001</v>
      </c>
      <c r="I77" s="6" t="str">
        <f>IFERROR(IF(tblInputSheet[[#This Row],[Integration Pattern]] = "-", "", VLOOKUP(tblInputSheet[[#This Row],[Integration Pattern]], tblIntegrationPartten[], 2,FALSE)), "")</f>
        <v>IP001</v>
      </c>
      <c r="J77" s="6" t="str">
        <f>tblDisplaySheet[[#This Row],[Current State]]</f>
        <v>Y</v>
      </c>
      <c r="K77" s="6" t="str">
        <f>tblDisplaySheet[[#This Row],[Confidence Factor]]</f>
        <v>Medium</v>
      </c>
      <c r="L77" s="6">
        <f>tblDisplaySheet[[#This Row],[Count of Invocations]]</f>
        <v>0</v>
      </c>
      <c r="M77" s="6">
        <f>tblDisplaySheet[[#This Row],[DB Calls (ms)]]</f>
        <v>5</v>
      </c>
      <c r="N77" s="6">
        <f>tblDisplaySheet[[#This Row],[Logic (ms)]]</f>
        <v>30</v>
      </c>
      <c r="O77" s="6">
        <f>tblDisplaySheet[[#This Row],[Rules (ms)]]</f>
        <v>0</v>
      </c>
      <c r="P77" s="6">
        <f>tblDisplaySheet[[#This Row],[Latency (ms)]]</f>
        <v>10</v>
      </c>
      <c r="Q77" s="6">
        <f>tblDisplaySheet[[#This Row],[Latency (ms)]]</f>
        <v>10</v>
      </c>
      <c r="R77" s="6">
        <f>tblDisplaySheet[[#This Row],[Total Process Path Length]]</f>
        <v>0</v>
      </c>
      <c r="S77" s="6">
        <f>tblDisplaySheet[[#This Row],[Total Process Time]]</f>
        <v>0</v>
      </c>
      <c r="T77" s="6">
        <f>tblDisplaySheet[[#This Row],[Total Process Path Length]]</f>
        <v>0</v>
      </c>
      <c r="U77" s="6">
        <f>tblDisplaySheet[[#This Row],[Total Process Path Length NFR]]</f>
        <v>0</v>
      </c>
      <c r="V77" s="6" t="str">
        <f>tblDisplaySheet[[#This Row],[Status]]</f>
        <v>On Target</v>
      </c>
      <c r="W77" s="6" t="str">
        <f>tblDisplaySheet[[#This Row],[Is Leaf?]]</f>
        <v>Y</v>
      </c>
      <c r="X77" s="6" t="str">
        <f>tblDisplaySheet[[#This Row],[Owner]]</f>
        <v>Greg</v>
      </c>
    </row>
    <row r="78" spans="1:24" x14ac:dyDescent="0.25">
      <c r="A78" s="6">
        <f>tblDisplaySheet[[#This Row],[Link]]</f>
        <v>74</v>
      </c>
      <c r="B78" s="6">
        <f>tblDisplaySheet[[#This Row],[Level]]</f>
        <v>9</v>
      </c>
      <c r="C78" s="6">
        <f>tblDisplaySheet[[#This Row],[Sl.No]]</f>
        <v>76</v>
      </c>
      <c r="D78" s="6" t="str">
        <f>tblDisplaySheet[[#This Row],[Group]]</f>
        <v>Service Level - Accums</v>
      </c>
      <c r="E78" s="6" t="str">
        <f>TEXT(tblInputSheet[[#This Row],[Sl.No]], "000")&amp; ":"&amp; tblInputSheet[[#This Row],[Process]]</f>
        <v>076:Reference Lookup Microservice</v>
      </c>
      <c r="F78" s="6" t="str">
        <f>IFERROR(IF(tblInputSheet[[#This Row],[Hosted Platform]] = "-", "", VLOOKUP(tblInputSheet[[#This Row],[Hosted Platform]], tblHosted_PlatformOwner[], 2,FALSE)), "")</f>
        <v>CC001</v>
      </c>
      <c r="G78" s="6" t="str">
        <f>IFERROR(IF(tblInputSheet[[#This Row],[Provider]] = "-", "", VLOOKUP(tblInputSheet[[#This Row],[Provider]], tblParticipants[], 2,FALSE)), "")</f>
        <v>PP001</v>
      </c>
      <c r="H78" s="6" t="str">
        <f>IFERROR(IF(tblInputSheet[[#This Row],[Consumer]] = "-", "", VLOOKUP(tblInputSheet[[#This Row],[Consumer]], tblParticipants[], 2,FALSE)), "")</f>
        <v>PP001</v>
      </c>
      <c r="I78" s="6" t="str">
        <f>IFERROR(IF(tblInputSheet[[#This Row],[Integration Pattern]] = "-", "", VLOOKUP(tblInputSheet[[#This Row],[Integration Pattern]], tblIntegrationPartten[], 2,FALSE)), "")</f>
        <v>IP001</v>
      </c>
      <c r="J78" s="6" t="str">
        <f>tblDisplaySheet[[#This Row],[Current State]]</f>
        <v>Y</v>
      </c>
      <c r="K78" s="6" t="str">
        <f>tblDisplaySheet[[#This Row],[Confidence Factor]]</f>
        <v>High</v>
      </c>
      <c r="L78" s="6">
        <f>tblDisplaySheet[[#This Row],[Count of Invocations]]</f>
        <v>0</v>
      </c>
      <c r="M78" s="6">
        <f>tblDisplaySheet[[#This Row],[DB Calls (ms)]]</f>
        <v>1</v>
      </c>
      <c r="N78" s="6">
        <f>tblDisplaySheet[[#This Row],[Logic (ms)]]</f>
        <v>5</v>
      </c>
      <c r="O78" s="6">
        <f>tblDisplaySheet[[#This Row],[Rules (ms)]]</f>
        <v>0</v>
      </c>
      <c r="P78" s="6">
        <f>tblDisplaySheet[[#This Row],[Latency (ms)]]</f>
        <v>5</v>
      </c>
      <c r="Q78" s="6">
        <f>tblDisplaySheet[[#This Row],[Latency (ms)]]</f>
        <v>5</v>
      </c>
      <c r="R78" s="6">
        <f>tblDisplaySheet[[#This Row],[Total Process Path Length]]</f>
        <v>0</v>
      </c>
      <c r="S78" s="6">
        <f>tblDisplaySheet[[#This Row],[Total Process Time]]</f>
        <v>0</v>
      </c>
      <c r="T78" s="6">
        <f>tblDisplaySheet[[#This Row],[Total Process Path Length]]</f>
        <v>0</v>
      </c>
      <c r="U78" s="6">
        <f>tblDisplaySheet[[#This Row],[Total Process Path Length NFR]]</f>
        <v>0</v>
      </c>
      <c r="V78" s="6" t="str">
        <f>tblDisplaySheet[[#This Row],[Status]]</f>
        <v>On Target</v>
      </c>
      <c r="W78" s="6" t="str">
        <f>tblDisplaySheet[[#This Row],[Is Leaf?]]</f>
        <v>Y</v>
      </c>
      <c r="X78" s="6" t="str">
        <f>tblDisplaySheet[[#This Row],[Owner]]</f>
        <v>Sankar</v>
      </c>
    </row>
    <row r="79" spans="1:24" x14ac:dyDescent="0.25">
      <c r="A79" s="6">
        <f>tblDisplaySheet[[#This Row],[Link]]</f>
        <v>70</v>
      </c>
      <c r="B79" s="6">
        <f>tblDisplaySheet[[#This Row],[Level]]</f>
        <v>8</v>
      </c>
      <c r="C79" s="6">
        <f>tblDisplaySheet[[#This Row],[Sl.No]]</f>
        <v>77</v>
      </c>
      <c r="D79" s="6" t="str">
        <f>tblDisplaySheet[[#This Row],[Group]]</f>
        <v>Service Level - Accums</v>
      </c>
      <c r="E79" s="6" t="str">
        <f>TEXT(tblInputSheet[[#This Row],[Sl.No]], "000")&amp; ":"&amp; tblInputSheet[[#This Row],[Process]]</f>
        <v>077:Accums Utilization Inquiry Microservice</v>
      </c>
      <c r="F79" s="6" t="str">
        <f>IFERROR(IF(tblInputSheet[[#This Row],[Hosted Platform]] = "-", "", VLOOKUP(tblInputSheet[[#This Row],[Hosted Platform]], tblHosted_PlatformOwner[], 2,FALSE)), "")</f>
        <v>CC001</v>
      </c>
      <c r="G79" s="6" t="str">
        <f>IFERROR(IF(tblInputSheet[[#This Row],[Provider]] = "-", "", VLOOKUP(tblInputSheet[[#This Row],[Provider]], tblParticipants[], 2,FALSE)), "")</f>
        <v>PP001</v>
      </c>
      <c r="H79" s="6" t="str">
        <f>IFERROR(IF(tblInputSheet[[#This Row],[Consumer]] = "-", "", VLOOKUP(tblInputSheet[[#This Row],[Consumer]], tblParticipants[], 2,FALSE)), "")</f>
        <v>PP001</v>
      </c>
      <c r="I79" s="6" t="str">
        <f>IFERROR(IF(tblInputSheet[[#This Row],[Integration Pattern]] = "-", "", VLOOKUP(tblInputSheet[[#This Row],[Integration Pattern]], tblIntegrationPartten[], 2,FALSE)), "")</f>
        <v>IP001</v>
      </c>
      <c r="J79" s="6" t="str">
        <f>tblDisplaySheet[[#This Row],[Current State]]</f>
        <v>Y</v>
      </c>
      <c r="K79" s="6" t="str">
        <f>tblDisplaySheet[[#This Row],[Confidence Factor]]</f>
        <v>Low</v>
      </c>
      <c r="L79" s="6">
        <f>tblDisplaySheet[[#This Row],[Count of Invocations]]</f>
        <v>1</v>
      </c>
      <c r="M79" s="6">
        <f>tblDisplaySheet[[#This Row],[DB Calls (ms)]]</f>
        <v>5</v>
      </c>
      <c r="N79" s="6">
        <f>tblDisplaySheet[[#This Row],[Logic (ms)]]</f>
        <v>30</v>
      </c>
      <c r="O79" s="6">
        <f>tblDisplaySheet[[#This Row],[Rules (ms)]]</f>
        <v>0</v>
      </c>
      <c r="P79" s="6">
        <f>tblDisplaySheet[[#This Row],[Latency (ms)]]</f>
        <v>5</v>
      </c>
      <c r="Q79" s="6">
        <f>tblDisplaySheet[[#This Row],[Latency (ms)]]</f>
        <v>5</v>
      </c>
      <c r="R79" s="6">
        <f>tblDisplaySheet[[#This Row],[Total Process Path Length]]</f>
        <v>40</v>
      </c>
      <c r="S79" s="6">
        <f>tblDisplaySheet[[#This Row],[Total Process Time]]</f>
        <v>40</v>
      </c>
      <c r="T79" s="6">
        <f>tblDisplaySheet[[#This Row],[Total Process Path Length]]</f>
        <v>40</v>
      </c>
      <c r="U79" s="6">
        <f>tblDisplaySheet[[#This Row],[Total Process Path Length NFR]]</f>
        <v>50</v>
      </c>
      <c r="V79" s="6" t="str">
        <f>tblDisplaySheet[[#This Row],[Status]]</f>
        <v>On Target</v>
      </c>
      <c r="W79" s="6" t="str">
        <f>tblDisplaySheet[[#This Row],[Is Leaf?]]</f>
        <v>Y</v>
      </c>
      <c r="X79" s="6" t="str">
        <f>tblDisplaySheet[[#This Row],[Owner]]</f>
        <v>Sankar</v>
      </c>
    </row>
    <row r="80" spans="1:24" x14ac:dyDescent="0.25">
      <c r="A80" s="6">
        <f>tblDisplaySheet[[#This Row],[Link]]</f>
        <v>70</v>
      </c>
      <c r="B80" s="6">
        <f>tblDisplaySheet[[#This Row],[Level]]</f>
        <v>8</v>
      </c>
      <c r="C80" s="6">
        <f>tblDisplaySheet[[#This Row],[Sl.No]]</f>
        <v>78</v>
      </c>
      <c r="D80" s="6" t="str">
        <f>tblDisplaySheet[[#This Row],[Group]]</f>
        <v>Service Level - Accums</v>
      </c>
      <c r="E80" s="6" t="str">
        <f>TEXT(tblInputSheet[[#This Row],[Sl.No]], "000")&amp; ":"&amp; tblInputSheet[[#This Row],[Process]]</f>
        <v>078:Accums Utilization Microservice</v>
      </c>
      <c r="F80" s="6" t="str">
        <f>IFERROR(IF(tblInputSheet[[#This Row],[Hosted Platform]] = "-", "", VLOOKUP(tblInputSheet[[#This Row],[Hosted Platform]], tblHosted_PlatformOwner[], 2,FALSE)), "")</f>
        <v>CC001</v>
      </c>
      <c r="G80" s="6" t="str">
        <f>IFERROR(IF(tblInputSheet[[#This Row],[Provider]] = "-", "", VLOOKUP(tblInputSheet[[#This Row],[Provider]], tblParticipants[], 2,FALSE)), "")</f>
        <v>PP001</v>
      </c>
      <c r="H80" s="6" t="str">
        <f>IFERROR(IF(tblInputSheet[[#This Row],[Consumer]] = "-", "", VLOOKUP(tblInputSheet[[#This Row],[Consumer]], tblParticipants[], 2,FALSE)), "")</f>
        <v>PP001</v>
      </c>
      <c r="I80" s="6" t="str">
        <f>IFERROR(IF(tblInputSheet[[#This Row],[Integration Pattern]] = "-", "", VLOOKUP(tblInputSheet[[#This Row],[Integration Pattern]], tblIntegrationPartten[], 2,FALSE)), "")</f>
        <v>IP001</v>
      </c>
      <c r="J80" s="6" t="str">
        <f>tblDisplaySheet[[#This Row],[Current State]]</f>
        <v>Y</v>
      </c>
      <c r="K80" s="6" t="str">
        <f>tblDisplaySheet[[#This Row],[Confidence Factor]]</f>
        <v>Low</v>
      </c>
      <c r="L80" s="6">
        <f>tblDisplaySheet[[#This Row],[Count of Invocations]]</f>
        <v>1</v>
      </c>
      <c r="M80" s="6">
        <f>tblDisplaySheet[[#This Row],[DB Calls (ms)]]</f>
        <v>5</v>
      </c>
      <c r="N80" s="6">
        <f>tblDisplaySheet[[#This Row],[Logic (ms)]]</f>
        <v>30</v>
      </c>
      <c r="O80" s="6">
        <f>tblDisplaySheet[[#This Row],[Rules (ms)]]</f>
        <v>0</v>
      </c>
      <c r="P80" s="6">
        <f>tblDisplaySheet[[#This Row],[Latency (ms)]]</f>
        <v>5</v>
      </c>
      <c r="Q80" s="6">
        <f>tblDisplaySheet[[#This Row],[Latency (ms)]]</f>
        <v>5</v>
      </c>
      <c r="R80" s="6">
        <f>tblDisplaySheet[[#This Row],[Total Process Path Length]]</f>
        <v>40</v>
      </c>
      <c r="S80" s="6">
        <f>tblDisplaySheet[[#This Row],[Total Process Time]]</f>
        <v>40</v>
      </c>
      <c r="T80" s="6">
        <f>tblDisplaySheet[[#This Row],[Total Process Path Length]]</f>
        <v>40</v>
      </c>
      <c r="U80" s="6">
        <f>tblDisplaySheet[[#This Row],[Total Process Path Length NFR]]</f>
        <v>50</v>
      </c>
      <c r="V80" s="6" t="str">
        <f>tblDisplaySheet[[#This Row],[Status]]</f>
        <v>On Target</v>
      </c>
      <c r="W80" s="6" t="str">
        <f>tblDisplaySheet[[#This Row],[Is Leaf?]]</f>
        <v>Y</v>
      </c>
      <c r="X80" s="6" t="str">
        <f>tblDisplaySheet[[#This Row],[Owner]]</f>
        <v>Sankar</v>
      </c>
    </row>
    <row r="81" spans="1:24" x14ac:dyDescent="0.25">
      <c r="A81" s="6">
        <f>tblDisplaySheet[[#This Row],[Link]]</f>
        <v>70</v>
      </c>
      <c r="B81" s="6">
        <f>tblDisplaySheet[[#This Row],[Level]]</f>
        <v>8</v>
      </c>
      <c r="C81" s="6">
        <f>tblDisplaySheet[[#This Row],[Sl.No]]</f>
        <v>79</v>
      </c>
      <c r="D81" s="6" t="str">
        <f>tblDisplaySheet[[#This Row],[Group]]</f>
        <v>Service Level - Accums</v>
      </c>
      <c r="E81" s="6" t="str">
        <f>TEXT(tblInputSheet[[#This Row],[Sl.No]], "000")&amp; ":"&amp; tblInputSheet[[#This Row],[Process]]</f>
        <v>079:Accums ID Lookup Service</v>
      </c>
      <c r="F81" s="6" t="str">
        <f>IFERROR(IF(tblInputSheet[[#This Row],[Hosted Platform]] = "-", "", VLOOKUP(tblInputSheet[[#This Row],[Hosted Platform]], tblHosted_PlatformOwner[], 2,FALSE)), "")</f>
        <v>CC001</v>
      </c>
      <c r="G81" s="6" t="str">
        <f>IFERROR(IF(tblInputSheet[[#This Row],[Provider]] = "-", "", VLOOKUP(tblInputSheet[[#This Row],[Provider]], tblParticipants[], 2,FALSE)), "")</f>
        <v>PP001</v>
      </c>
      <c r="H81" s="6" t="str">
        <f>IFERROR(IF(tblInputSheet[[#This Row],[Consumer]] = "-", "", VLOOKUP(tblInputSheet[[#This Row],[Consumer]], tblParticipants[], 2,FALSE)), "")</f>
        <v>PP001</v>
      </c>
      <c r="I81" s="6" t="str">
        <f>IFERROR(IF(tblInputSheet[[#This Row],[Integration Pattern]] = "-", "", VLOOKUP(tblInputSheet[[#This Row],[Integration Pattern]], tblIntegrationPartten[], 2,FALSE)), "")</f>
        <v>IP001</v>
      </c>
      <c r="J81" s="6" t="str">
        <f>tblDisplaySheet[[#This Row],[Current State]]</f>
        <v>Y</v>
      </c>
      <c r="K81" s="6" t="str">
        <f>tblDisplaySheet[[#This Row],[Confidence Factor]]</f>
        <v>Low</v>
      </c>
      <c r="L81" s="6">
        <f>tblDisplaySheet[[#This Row],[Count of Invocations]]</f>
        <v>1</v>
      </c>
      <c r="M81" s="6">
        <f>tblDisplaySheet[[#This Row],[DB Calls (ms)]]</f>
        <v>5</v>
      </c>
      <c r="N81" s="6">
        <f>tblDisplaySheet[[#This Row],[Logic (ms)]]</f>
        <v>30</v>
      </c>
      <c r="O81" s="6">
        <f>tblDisplaySheet[[#This Row],[Rules (ms)]]</f>
        <v>0</v>
      </c>
      <c r="P81" s="6">
        <f>tblDisplaySheet[[#This Row],[Latency (ms)]]</f>
        <v>5</v>
      </c>
      <c r="Q81" s="6">
        <f>tblDisplaySheet[[#This Row],[Latency (ms)]]</f>
        <v>5</v>
      </c>
      <c r="R81" s="6">
        <f>tblDisplaySheet[[#This Row],[Total Process Path Length]]</f>
        <v>40</v>
      </c>
      <c r="S81" s="6">
        <f>tblDisplaySheet[[#This Row],[Total Process Time]]</f>
        <v>40</v>
      </c>
      <c r="T81" s="6">
        <f>tblDisplaySheet[[#This Row],[Total Process Path Length]]</f>
        <v>40</v>
      </c>
      <c r="U81" s="6">
        <f>tblDisplaySheet[[#This Row],[Total Process Path Length NFR]]</f>
        <v>50</v>
      </c>
      <c r="V81" s="6" t="str">
        <f>tblDisplaySheet[[#This Row],[Status]]</f>
        <v>On Target</v>
      </c>
      <c r="W81" s="6" t="str">
        <f>tblDisplaySheet[[#This Row],[Is Leaf?]]</f>
        <v>Y</v>
      </c>
      <c r="X81" s="6" t="str">
        <f>tblDisplaySheet[[#This Row],[Owner]]</f>
        <v>Sankar</v>
      </c>
    </row>
    <row r="82" spans="1:24" x14ac:dyDescent="0.25">
      <c r="A82" s="6">
        <f>tblDisplaySheet[[#This Row],[Link]]</f>
        <v>70</v>
      </c>
      <c r="B82" s="6">
        <f>tblDisplaySheet[[#This Row],[Level]]</f>
        <v>8</v>
      </c>
      <c r="C82" s="6">
        <f>tblDisplaySheet[[#This Row],[Sl.No]]</f>
        <v>80</v>
      </c>
      <c r="D82" s="6" t="str">
        <f>tblDisplaySheet[[#This Row],[Group]]</f>
        <v>Service Level - Accums</v>
      </c>
      <c r="E82" s="6" t="str">
        <f>TEXT(tblInputSheet[[#This Row],[Sl.No]], "000")&amp; ":"&amp; tblInputSheet[[#This Row],[Process]]</f>
        <v>080:DME Event Validation Lookup Service</v>
      </c>
      <c r="F82" s="6" t="str">
        <f>IFERROR(IF(tblInputSheet[[#This Row],[Hosted Platform]] = "-", "", VLOOKUP(tblInputSheet[[#This Row],[Hosted Platform]], tblHosted_PlatformOwner[], 2,FALSE)), "")</f>
        <v>CC001</v>
      </c>
      <c r="G82" s="6" t="str">
        <f>IFERROR(IF(tblInputSheet[[#This Row],[Provider]] = "-", "", VLOOKUP(tblInputSheet[[#This Row],[Provider]], tblParticipants[], 2,FALSE)), "")</f>
        <v>PP001</v>
      </c>
      <c r="H82" s="6" t="str">
        <f>IFERROR(IF(tblInputSheet[[#This Row],[Consumer]] = "-", "", VLOOKUP(tblInputSheet[[#This Row],[Consumer]], tblParticipants[], 2,FALSE)), "")</f>
        <v>PP001</v>
      </c>
      <c r="I82" s="6" t="str">
        <f>IFERROR(IF(tblInputSheet[[#This Row],[Integration Pattern]] = "-", "", VLOOKUP(tblInputSheet[[#This Row],[Integration Pattern]], tblIntegrationPartten[], 2,FALSE)), "")</f>
        <v>IP001</v>
      </c>
      <c r="J82" s="6" t="str">
        <f>tblDisplaySheet[[#This Row],[Current State]]</f>
        <v>Y</v>
      </c>
      <c r="K82" s="6" t="str">
        <f>tblDisplaySheet[[#This Row],[Confidence Factor]]</f>
        <v>Low</v>
      </c>
      <c r="L82" s="6">
        <f>tblDisplaySheet[[#This Row],[Count of Invocations]]</f>
        <v>0</v>
      </c>
      <c r="M82" s="6">
        <f>tblDisplaySheet[[#This Row],[DB Calls (ms)]]</f>
        <v>5</v>
      </c>
      <c r="N82" s="6">
        <f>tblDisplaySheet[[#This Row],[Logic (ms)]]</f>
        <v>30</v>
      </c>
      <c r="O82" s="6">
        <f>tblDisplaySheet[[#This Row],[Rules (ms)]]</f>
        <v>0</v>
      </c>
      <c r="P82" s="6">
        <f>tblDisplaySheet[[#This Row],[Latency (ms)]]</f>
        <v>5</v>
      </c>
      <c r="Q82" s="6">
        <f>tblDisplaySheet[[#This Row],[Latency (ms)]]</f>
        <v>5</v>
      </c>
      <c r="R82" s="6">
        <f>tblDisplaySheet[[#This Row],[Total Process Path Length]]</f>
        <v>0</v>
      </c>
      <c r="S82" s="6">
        <f>tblDisplaySheet[[#This Row],[Total Process Time]]</f>
        <v>0</v>
      </c>
      <c r="T82" s="6">
        <f>tblDisplaySheet[[#This Row],[Total Process Path Length]]</f>
        <v>0</v>
      </c>
      <c r="U82" s="6">
        <f>tblDisplaySheet[[#This Row],[Total Process Path Length NFR]]</f>
        <v>0</v>
      </c>
      <c r="V82" s="6" t="str">
        <f>tblDisplaySheet[[#This Row],[Status]]</f>
        <v>On Target</v>
      </c>
      <c r="W82" s="6" t="str">
        <f>tblDisplaySheet[[#This Row],[Is Leaf?]]</f>
        <v>Y</v>
      </c>
      <c r="X82" s="6" t="str">
        <f>tblDisplaySheet[[#This Row],[Owner]]</f>
        <v>Sankar</v>
      </c>
    </row>
    <row r="83" spans="1:24" x14ac:dyDescent="0.25">
      <c r="A83" s="6">
        <f>tblDisplaySheet[[#This Row],[Link]]</f>
        <v>19</v>
      </c>
      <c r="B83" s="6">
        <f>tblDisplaySheet[[#This Row],[Level]]</f>
        <v>4</v>
      </c>
      <c r="C83" s="6">
        <f>tblDisplaySheet[[#This Row],[Sl.No]]</f>
        <v>81</v>
      </c>
      <c r="D83" s="6" t="str">
        <f>tblDisplaySheet[[#This Row],[Group]]</f>
        <v>Service Level</v>
      </c>
      <c r="E83" s="6" t="str">
        <f>TEXT(tblInputSheet[[#This Row],[Sl.No]], "000")&amp; ":"&amp; tblInputSheet[[#This Row],[Process]]</f>
        <v>081:Post TPL</v>
      </c>
      <c r="F83" s="6" t="str">
        <f>IFERROR(IF(tblInputSheet[[#This Row],[Hosted Platform]] = "-", "", VLOOKUP(tblInputSheet[[#This Row],[Hosted Platform]], tblHosted_PlatformOwner[], 2,FALSE)), "")</f>
        <v>CC004</v>
      </c>
      <c r="G83" s="6" t="str">
        <f>IFERROR(IF(tblInputSheet[[#This Row],[Provider]] = "-", "", VLOOKUP(tblInputSheet[[#This Row],[Provider]], tblParticipants[], 2,FALSE)), "")</f>
        <v>PP004</v>
      </c>
      <c r="H83" s="6" t="str">
        <f>IFERROR(IF(tblInputSheet[[#This Row],[Consumer]] = "-", "", VLOOKUP(tblInputSheet[[#This Row],[Consumer]], tblParticipants[], 2,FALSE)), "")</f>
        <v>PP004</v>
      </c>
      <c r="I83" s="6" t="str">
        <f>IFERROR(IF(tblInputSheet[[#This Row],[Integration Pattern]] = "-", "", VLOOKUP(tblInputSheet[[#This Row],[Integration Pattern]], tblIntegrationPartten[], 2,FALSE)), "")</f>
        <v>IP010</v>
      </c>
      <c r="J83" s="6" t="str">
        <f>tblDisplaySheet[[#This Row],[Current State]]</f>
        <v>Y</v>
      </c>
      <c r="K83" s="6" t="str">
        <f>tblDisplaySheet[[#This Row],[Confidence Factor]]</f>
        <v>Group</v>
      </c>
      <c r="L83" s="6">
        <f>tblDisplaySheet[[#This Row],[Count of Invocations]]</f>
        <v>1</v>
      </c>
      <c r="M83" s="6">
        <f>tblDisplaySheet[[#This Row],[DB Calls (ms)]]</f>
        <v>0</v>
      </c>
      <c r="N83" s="6">
        <f>tblDisplaySheet[[#This Row],[Logic (ms)]]</f>
        <v>50</v>
      </c>
      <c r="O83" s="6">
        <f>tblDisplaySheet[[#This Row],[Rules (ms)]]</f>
        <v>0</v>
      </c>
      <c r="P83" s="6">
        <f>tblDisplaySheet[[#This Row],[Latency (ms)]]</f>
        <v>0</v>
      </c>
      <c r="Q83" s="6">
        <f>tblDisplaySheet[[#This Row],[Latency (ms)]]</f>
        <v>0</v>
      </c>
      <c r="R83" s="6">
        <f>tblDisplaySheet[[#This Row],[Total Process Path Length]]</f>
        <v>50</v>
      </c>
      <c r="S83" s="6">
        <f>tblDisplaySheet[[#This Row],[Total Process Time]]</f>
        <v>50</v>
      </c>
      <c r="T83" s="6">
        <f>tblDisplaySheet[[#This Row],[Total Process Path Length]]</f>
        <v>50</v>
      </c>
      <c r="U83" s="6">
        <f>tblDisplaySheet[[#This Row],[Total Process Path Length NFR]]</f>
        <v>50</v>
      </c>
      <c r="V83" s="6" t="str">
        <f>tblDisplaySheet[[#This Row],[Status]]</f>
        <v>On Target</v>
      </c>
      <c r="W83" s="6" t="str">
        <f>tblDisplaySheet[[#This Row],[Is Leaf?]]</f>
        <v>Y</v>
      </c>
      <c r="X83" s="6" t="str">
        <f>tblDisplaySheet[[#This Row],[Owner]]</f>
        <v>Alak</v>
      </c>
    </row>
    <row r="84" spans="1:24" x14ac:dyDescent="0.25">
      <c r="A84" s="6">
        <f>tblDisplaySheet[[#This Row],[Link]]</f>
        <v>2</v>
      </c>
      <c r="B84" s="6">
        <f>tblDisplaySheet[[#This Row],[Level]]</f>
        <v>2</v>
      </c>
      <c r="C84" s="6">
        <f>tblDisplaySheet[[#This Row],[Sl.No]]</f>
        <v>82</v>
      </c>
      <c r="D84" s="6" t="str">
        <f>tblDisplaySheet[[#This Row],[Group]]</f>
        <v>Claim Release</v>
      </c>
      <c r="E84" s="6" t="str">
        <f>TEXT(tblInputSheet[[#This Row],[Sl.No]], "000")&amp; ":"&amp; tblInputSheet[[#This Row],[Process]]</f>
        <v>082:Claim Release</v>
      </c>
      <c r="F84" s="6" t="str">
        <f>IFERROR(IF(tblInputSheet[[#This Row],[Hosted Platform]] = "-", "", VLOOKUP(tblInputSheet[[#This Row],[Hosted Platform]], tblHosted_PlatformOwner[], 2,FALSE)), "")</f>
        <v>CC000</v>
      </c>
      <c r="G84" s="6" t="str">
        <f>IFERROR(IF(tblInputSheet[[#This Row],[Provider]] = "-", "", VLOOKUP(tblInputSheet[[#This Row],[Provider]], tblParticipants[], 2,FALSE)), "")</f>
        <v>PP000</v>
      </c>
      <c r="H84" s="6" t="str">
        <f>IFERROR(IF(tblInputSheet[[#This Row],[Consumer]] = "-", "", VLOOKUP(tblInputSheet[[#This Row],[Consumer]], tblParticipants[], 2,FALSE)), "")</f>
        <v>PP000</v>
      </c>
      <c r="I84" s="6" t="str">
        <f>IFERROR(IF(tblInputSheet[[#This Row],[Integration Pattern]] = "-", "", VLOOKUP(tblInputSheet[[#This Row],[Integration Pattern]], tblIntegrationPartten[], 2,FALSE)), "")</f>
        <v>IP000</v>
      </c>
      <c r="J84" s="6" t="str">
        <f>tblDisplaySheet[[#This Row],[Current State]]</f>
        <v>Y</v>
      </c>
      <c r="K84" s="6" t="str">
        <f>tblDisplaySheet[[#This Row],[Confidence Factor]]</f>
        <v>Low</v>
      </c>
      <c r="L84" s="6">
        <f>tblDisplaySheet[[#This Row],[Count of Invocations]]</f>
        <v>0</v>
      </c>
      <c r="M84" s="6">
        <f>tblDisplaySheet[[#This Row],[DB Calls (ms)]]</f>
        <v>0</v>
      </c>
      <c r="N84" s="6">
        <f>tblDisplaySheet[[#This Row],[Logic (ms)]]</f>
        <v>0</v>
      </c>
      <c r="O84" s="6">
        <f>tblDisplaySheet[[#This Row],[Rules (ms)]]</f>
        <v>0</v>
      </c>
      <c r="P84" s="6">
        <f>tblDisplaySheet[[#This Row],[Latency (ms)]]</f>
        <v>0</v>
      </c>
      <c r="Q84" s="6">
        <f>tblDisplaySheet[[#This Row],[Latency (ms)]]</f>
        <v>0</v>
      </c>
      <c r="R84" s="6">
        <f>tblDisplaySheet[[#This Row],[Total Process Path Length]]</f>
        <v>200</v>
      </c>
      <c r="S84" s="6">
        <f>tblDisplaySheet[[#This Row],[Total Process Time]]</f>
        <v>0</v>
      </c>
      <c r="T84" s="6">
        <f>tblDisplaySheet[[#This Row],[Total Process Path Length]]</f>
        <v>200</v>
      </c>
      <c r="U84" s="6">
        <f>tblDisplaySheet[[#This Row],[Total Process Path Length NFR]]</f>
        <v>200</v>
      </c>
      <c r="V84" s="6" t="str">
        <f>tblDisplaySheet[[#This Row],[Status]]</f>
        <v>On Target</v>
      </c>
      <c r="W84" s="6" t="str">
        <f>tblDisplaySheet[[#This Row],[Is Leaf?]]</f>
        <v>G</v>
      </c>
      <c r="X84" s="6" t="str">
        <f>tblDisplaySheet[[#This Row],[Owner]]</f>
        <v>Alak</v>
      </c>
    </row>
    <row r="85" spans="1:24" x14ac:dyDescent="0.25">
      <c r="A85" s="6">
        <f>tblDisplaySheet[[#This Row],[Link]]</f>
        <v>82</v>
      </c>
      <c r="B85" s="6">
        <f>tblDisplaySheet[[#This Row],[Level]]</f>
        <v>3</v>
      </c>
      <c r="C85" s="6">
        <f>tblDisplaySheet[[#This Row],[Sl.No]]</f>
        <v>83</v>
      </c>
      <c r="D85" s="6" t="str">
        <f>tblDisplaySheet[[#This Row],[Group]]</f>
        <v>Claim Release</v>
      </c>
      <c r="E85" s="6" t="str">
        <f>TEXT(tblInputSheet[[#This Row],[Sl.No]], "000")&amp; ":"&amp; tblInputSheet[[#This Row],[Process]]</f>
        <v>083:Claim Release BC</v>
      </c>
      <c r="F85" s="6" t="str">
        <f>IFERROR(IF(tblInputSheet[[#This Row],[Hosted Platform]] = "-", "", VLOOKUP(tblInputSheet[[#This Row],[Hosted Platform]], tblHosted_PlatformOwner[], 2,FALSE)), "")</f>
        <v>CC004</v>
      </c>
      <c r="G85" s="6" t="str">
        <f>IFERROR(IF(tblInputSheet[[#This Row],[Provider]] = "-", "", VLOOKUP(tblInputSheet[[#This Row],[Provider]], tblParticipants[], 2,FALSE)), "")</f>
        <v>PP004</v>
      </c>
      <c r="H85" s="6" t="str">
        <f>IFERROR(IF(tblInputSheet[[#This Row],[Consumer]] = "-", "", VLOOKUP(tblInputSheet[[#This Row],[Consumer]], tblParticipants[], 2,FALSE)), "")</f>
        <v>PP004</v>
      </c>
      <c r="I85" s="6" t="str">
        <f>IFERROR(IF(tblInputSheet[[#This Row],[Integration Pattern]] = "-", "", VLOOKUP(tblInputSheet[[#This Row],[Integration Pattern]], tblIntegrationPartten[], 2,FALSE)), "")</f>
        <v>IP010</v>
      </c>
      <c r="J85" s="6" t="str">
        <f>tblDisplaySheet[[#This Row],[Current State]]</f>
        <v>Y</v>
      </c>
      <c r="K85" s="6" t="str">
        <f>tblDisplaySheet[[#This Row],[Confidence Factor]]</f>
        <v>Group</v>
      </c>
      <c r="L85" s="6">
        <f>tblDisplaySheet[[#This Row],[Count of Invocations]]</f>
        <v>1</v>
      </c>
      <c r="M85" s="6">
        <f>tblDisplaySheet[[#This Row],[DB Calls (ms)]]</f>
        <v>0</v>
      </c>
      <c r="N85" s="6">
        <f>tblDisplaySheet[[#This Row],[Logic (ms)]]</f>
        <v>50</v>
      </c>
      <c r="O85" s="6">
        <f>tblDisplaySheet[[#This Row],[Rules (ms)]]</f>
        <v>0</v>
      </c>
      <c r="P85" s="6">
        <f>tblDisplaySheet[[#This Row],[Latency (ms)]]</f>
        <v>0</v>
      </c>
      <c r="Q85" s="6">
        <f>tblDisplaySheet[[#This Row],[Latency (ms)]]</f>
        <v>0</v>
      </c>
      <c r="R85" s="6">
        <f>tblDisplaySheet[[#This Row],[Total Process Path Length]]</f>
        <v>200</v>
      </c>
      <c r="S85" s="6">
        <f>tblDisplaySheet[[#This Row],[Total Process Time]]</f>
        <v>50</v>
      </c>
      <c r="T85" s="6">
        <f>tblDisplaySheet[[#This Row],[Total Process Path Length]]</f>
        <v>200</v>
      </c>
      <c r="U85" s="6">
        <f>tblDisplaySheet[[#This Row],[Total Process Path Length NFR]]</f>
        <v>200</v>
      </c>
      <c r="V85" s="6" t="str">
        <f>tblDisplaySheet[[#This Row],[Status]]</f>
        <v>On Target</v>
      </c>
      <c r="W85" s="6" t="str">
        <f>tblDisplaySheet[[#This Row],[Is Leaf?]]</f>
        <v>N</v>
      </c>
      <c r="X85" s="6" t="str">
        <f>tblDisplaySheet[[#This Row],[Owner]]</f>
        <v>Alak</v>
      </c>
    </row>
    <row r="86" spans="1:24" x14ac:dyDescent="0.25">
      <c r="A86" s="6">
        <f>tblDisplaySheet[[#This Row],[Link]]</f>
        <v>83</v>
      </c>
      <c r="B86" s="6">
        <f>tblDisplaySheet[[#This Row],[Level]]</f>
        <v>4</v>
      </c>
      <c r="C86" s="6">
        <f>tblDisplaySheet[[#This Row],[Sl.No]]</f>
        <v>84</v>
      </c>
      <c r="D86" s="6" t="str">
        <f>tblDisplaySheet[[#This Row],[Group]]</f>
        <v>Claim Release</v>
      </c>
      <c r="E86" s="6" t="str">
        <f>TEXT(tblInputSheet[[#This Row],[Sl.No]], "000")&amp; ":"&amp; tblInputSheet[[#This Row],[Process]]</f>
        <v>084:Claim Release - Update Keystone Ledger 2.0</v>
      </c>
      <c r="F86" s="6" t="str">
        <f>IFERROR(IF(tblInputSheet[[#This Row],[Hosted Platform]] = "-", "", VLOOKUP(tblInputSheet[[#This Row],[Hosted Platform]], tblHosted_PlatformOwner[], 2,FALSE)), "")</f>
        <v>CC004</v>
      </c>
      <c r="G86" s="6" t="str">
        <f>IFERROR(IF(tblInputSheet[[#This Row],[Provider]] = "-", "", VLOOKUP(tblInputSheet[[#This Row],[Provider]], tblParticipants[], 2,FALSE)), "")</f>
        <v>PP004</v>
      </c>
      <c r="H86" s="6" t="str">
        <f>IFERROR(IF(tblInputSheet[[#This Row],[Consumer]] = "-", "", VLOOKUP(tblInputSheet[[#This Row],[Consumer]], tblParticipants[], 2,FALSE)), "")</f>
        <v>PP004</v>
      </c>
      <c r="I86" s="6" t="str">
        <f>IFERROR(IF(tblInputSheet[[#This Row],[Integration Pattern]] = "-", "", VLOOKUP(tblInputSheet[[#This Row],[Integration Pattern]], tblIntegrationPartten[], 2,FALSE)), "")</f>
        <v>IP010</v>
      </c>
      <c r="J86" s="6" t="str">
        <f>tblDisplaySheet[[#This Row],[Current State]]</f>
        <v>Y</v>
      </c>
      <c r="K86" s="6" t="str">
        <f>tblDisplaySheet[[#This Row],[Confidence Factor]]</f>
        <v>Group</v>
      </c>
      <c r="L86" s="6">
        <f>tblDisplaySheet[[#This Row],[Count of Invocations]]</f>
        <v>1</v>
      </c>
      <c r="M86" s="6">
        <f>tblDisplaySheet[[#This Row],[DB Calls (ms)]]</f>
        <v>0</v>
      </c>
      <c r="N86" s="6">
        <f>tblDisplaySheet[[#This Row],[Logic (ms)]]</f>
        <v>100</v>
      </c>
      <c r="O86" s="6">
        <f>tblDisplaySheet[[#This Row],[Rules (ms)]]</f>
        <v>0</v>
      </c>
      <c r="P86" s="6">
        <f>tblDisplaySheet[[#This Row],[Latency (ms)]]</f>
        <v>0</v>
      </c>
      <c r="Q86" s="6">
        <f>tblDisplaySheet[[#This Row],[Latency (ms)]]</f>
        <v>0</v>
      </c>
      <c r="R86" s="6">
        <f>tblDisplaySheet[[#This Row],[Total Process Path Length]]</f>
        <v>100</v>
      </c>
      <c r="S86" s="6">
        <f>tblDisplaySheet[[#This Row],[Total Process Time]]</f>
        <v>100</v>
      </c>
      <c r="T86" s="6">
        <f>tblDisplaySheet[[#This Row],[Total Process Path Length]]</f>
        <v>100</v>
      </c>
      <c r="U86" s="6">
        <f>tblDisplaySheet[[#This Row],[Total Process Path Length NFR]]</f>
        <v>100</v>
      </c>
      <c r="V86" s="6" t="str">
        <f>tblDisplaySheet[[#This Row],[Status]]</f>
        <v>On Target</v>
      </c>
      <c r="W86" s="6" t="str">
        <f>tblDisplaySheet[[#This Row],[Is Leaf?]]</f>
        <v>Y</v>
      </c>
      <c r="X86" s="6" t="str">
        <f>tblDisplaySheet[[#This Row],[Owner]]</f>
        <v>Alak</v>
      </c>
    </row>
    <row r="87" spans="1:24" x14ac:dyDescent="0.25">
      <c r="A87" s="6">
        <f>tblDisplaySheet[[#This Row],[Link]]</f>
        <v>83</v>
      </c>
      <c r="B87" s="6">
        <f>tblDisplaySheet[[#This Row],[Level]]</f>
        <v>4</v>
      </c>
      <c r="C87" s="6">
        <f>tblDisplaySheet[[#This Row],[Sl.No]]</f>
        <v>85</v>
      </c>
      <c r="D87" s="6" t="str">
        <f>tblDisplaySheet[[#This Row],[Group]]</f>
        <v>Claim Release</v>
      </c>
      <c r="E87" s="6" t="str">
        <f>TEXT(tblInputSheet[[#This Row],[Sl.No]], "000")&amp; ":"&amp; tblInputSheet[[#This Row],[Process]]</f>
        <v>085:Claim Pend Process</v>
      </c>
      <c r="F87" s="6" t="str">
        <f>IFERROR(IF(tblInputSheet[[#This Row],[Hosted Platform]] = "-", "", VLOOKUP(tblInputSheet[[#This Row],[Hosted Platform]], tblHosted_PlatformOwner[], 2,FALSE)), "")</f>
        <v>CC004</v>
      </c>
      <c r="G87" s="6" t="str">
        <f>IFERROR(IF(tblInputSheet[[#This Row],[Provider]] = "-", "", VLOOKUP(tblInputSheet[[#This Row],[Provider]], tblParticipants[], 2,FALSE)), "")</f>
        <v>PP004</v>
      </c>
      <c r="H87" s="6" t="str">
        <f>IFERROR(IF(tblInputSheet[[#This Row],[Consumer]] = "-", "", VLOOKUP(tblInputSheet[[#This Row],[Consumer]], tblParticipants[], 2,FALSE)), "")</f>
        <v>PP004</v>
      </c>
      <c r="I87" s="6" t="str">
        <f>IFERROR(IF(tblInputSheet[[#This Row],[Integration Pattern]] = "-", "", VLOOKUP(tblInputSheet[[#This Row],[Integration Pattern]], tblIntegrationPartten[], 2,FALSE)), "")</f>
        <v>IP010</v>
      </c>
      <c r="J87" s="6" t="str">
        <f>tblDisplaySheet[[#This Row],[Current State]]</f>
        <v>Y</v>
      </c>
      <c r="K87" s="6" t="str">
        <f>tblDisplaySheet[[#This Row],[Confidence Factor]]</f>
        <v>Group</v>
      </c>
      <c r="L87" s="6">
        <f>tblDisplaySheet[[#This Row],[Count of Invocations]]</f>
        <v>1</v>
      </c>
      <c r="M87" s="6">
        <f>tblDisplaySheet[[#This Row],[DB Calls (ms)]]</f>
        <v>0</v>
      </c>
      <c r="N87" s="6">
        <f>tblDisplaySheet[[#This Row],[Logic (ms)]]</f>
        <v>50</v>
      </c>
      <c r="O87" s="6">
        <f>tblDisplaySheet[[#This Row],[Rules (ms)]]</f>
        <v>0</v>
      </c>
      <c r="P87" s="6">
        <f>tblDisplaySheet[[#This Row],[Latency (ms)]]</f>
        <v>0</v>
      </c>
      <c r="Q87" s="6">
        <f>tblDisplaySheet[[#This Row],[Latency (ms)]]</f>
        <v>0</v>
      </c>
      <c r="R87" s="6">
        <f>tblDisplaySheet[[#This Row],[Total Process Path Length]]</f>
        <v>50</v>
      </c>
      <c r="S87" s="6">
        <f>tblDisplaySheet[[#This Row],[Total Process Time]]</f>
        <v>50</v>
      </c>
      <c r="T87" s="6">
        <f>tblDisplaySheet[[#This Row],[Total Process Path Length]]</f>
        <v>50</v>
      </c>
      <c r="U87" s="6">
        <f>tblDisplaySheet[[#This Row],[Total Process Path Length NFR]]</f>
        <v>50</v>
      </c>
      <c r="V87" s="6" t="str">
        <f>tblDisplaySheet[[#This Row],[Status]]</f>
        <v>On Target</v>
      </c>
      <c r="W87" s="6" t="str">
        <f>tblDisplaySheet[[#This Row],[Is Leaf?]]</f>
        <v>Y</v>
      </c>
      <c r="X87" s="6" t="str">
        <f>tblDisplaySheet[[#This Row],[Owner]]</f>
        <v>Alak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716D-8A4F-431B-BD74-EF95F430AEBA}">
  <sheetPr codeName="Sheet7"/>
  <dimension ref="A1:AA87"/>
  <sheetViews>
    <sheetView zoomScale="112" zoomScaleNormal="112" workbookViewId="0">
      <pane xSplit="11" ySplit="2" topLeftCell="L3" activePane="bottomRight" state="frozen"/>
      <selection pane="topRight" activeCell="L1" sqref="L1"/>
      <selection pane="bottomLeft" activeCell="A3" sqref="A3"/>
      <selection pane="bottomRight" activeCell="V3" sqref="V3"/>
    </sheetView>
  </sheetViews>
  <sheetFormatPr defaultRowHeight="15" outlineLevelCol="2" x14ac:dyDescent="0.25"/>
  <cols>
    <col min="1" max="1" width="5.7109375" style="8" bestFit="1" customWidth="1"/>
    <col min="2" max="2" width="5.7109375" style="8" hidden="1" customWidth="1" outlineLevel="1"/>
    <col min="3" max="3" width="27.140625" style="8" hidden="1" customWidth="1" outlineLevel="1" collapsed="1"/>
    <col min="4" max="4" width="60.7109375" style="8" customWidth="1" collapsed="1"/>
    <col min="5" max="5" width="16" style="8" hidden="1" customWidth="1" outlineLevel="1"/>
    <col min="6" max="7" width="23" style="8" hidden="1" customWidth="1" outlineLevel="1"/>
    <col min="8" max="8" width="25.85546875" style="8" hidden="1" customWidth="1" outlineLevel="1"/>
    <col min="9" max="9" width="7.7109375" style="8" hidden="1" customWidth="1" outlineLevel="1" collapsed="1"/>
    <col min="10" max="10" width="4.42578125" style="8" hidden="1" customWidth="1" outlineLevel="1"/>
    <col min="11" max="11" width="11.140625" style="8" hidden="1" customWidth="1" outlineLevel="1"/>
    <col min="12" max="12" width="11.140625" style="8" bestFit="1" customWidth="1" collapsed="1"/>
    <col min="13" max="13" width="8" style="18" hidden="1" customWidth="1" outlineLevel="1"/>
    <col min="14" max="15" width="6.42578125" style="18" hidden="1" customWidth="1" outlineLevel="1"/>
    <col min="16" max="16" width="7.7109375" style="18" hidden="1" customWidth="1" outlineLevel="1"/>
    <col min="17" max="17" width="13.85546875" hidden="1" customWidth="1" outlineLevel="1"/>
    <col min="18" max="18" width="14.85546875" style="8" hidden="1" customWidth="1" outlineLevel="1" collapsed="1"/>
    <col min="19" max="19" width="14.85546875" style="8" bestFit="1" customWidth="1" collapsed="1"/>
    <col min="20" max="20" width="11.140625" style="8" hidden="1" customWidth="1" outlineLevel="1"/>
    <col min="21" max="21" width="14" style="8" hidden="1" customWidth="1" outlineLevel="1" collapsed="1"/>
    <col min="22" max="22" width="17.28515625" style="8" bestFit="1" customWidth="1" collapsed="1"/>
    <col min="23" max="23" width="10.42578125" style="8" hidden="1" customWidth="1" outlineLevel="2"/>
    <col min="24" max="24" width="9.85546875" style="8" bestFit="1" customWidth="1" collapsed="1"/>
    <col min="25" max="25" width="10.42578125" style="8" customWidth="1"/>
    <col min="26" max="26" width="11.140625" style="8" customWidth="1"/>
    <col min="27" max="27" width="38.28515625" style="8" customWidth="1"/>
    <col min="28" max="28" width="9.140625" style="8"/>
    <col min="29" max="29" width="24.28515625" style="8" customWidth="1"/>
    <col min="30" max="30" width="9.140625" style="8" customWidth="1"/>
    <col min="31" max="16384" width="9.140625" style="8"/>
  </cols>
  <sheetData>
    <row r="1" spans="1:27" ht="15" customHeight="1" x14ac:dyDescent="0.25">
      <c r="A1" s="12"/>
      <c r="B1" s="13"/>
      <c r="C1" s="14" t="s">
        <v>152</v>
      </c>
      <c r="D1" s="15"/>
      <c r="E1" s="15"/>
      <c r="F1" s="15"/>
      <c r="G1" s="15"/>
      <c r="H1" s="15"/>
      <c r="I1" s="16" t="s">
        <v>151</v>
      </c>
      <c r="J1" s="17"/>
      <c r="K1" s="17"/>
      <c r="L1" s="16"/>
      <c r="M1" s="20"/>
      <c r="N1" s="20"/>
      <c r="O1" s="20"/>
      <c r="P1" s="20"/>
      <c r="Q1" s="21" t="s">
        <v>222</v>
      </c>
      <c r="R1" s="22" t="s">
        <v>223</v>
      </c>
      <c r="S1" s="11" t="s">
        <v>224</v>
      </c>
      <c r="T1" s="26"/>
      <c r="U1" s="10" t="s">
        <v>225</v>
      </c>
      <c r="V1" s="11" t="s">
        <v>224</v>
      </c>
      <c r="W1" s="11"/>
      <c r="X1" s="11"/>
    </row>
    <row r="2" spans="1:27" ht="45" x14ac:dyDescent="0.25">
      <c r="A2" s="4" t="s">
        <v>1</v>
      </c>
      <c r="B2" s="4" t="s">
        <v>2</v>
      </c>
      <c r="C2" s="4" t="s">
        <v>3</v>
      </c>
      <c r="D2" s="4" t="s">
        <v>152</v>
      </c>
      <c r="E2" s="4" t="s">
        <v>148</v>
      </c>
      <c r="F2" s="4" t="s">
        <v>31</v>
      </c>
      <c r="G2" s="4" t="s">
        <v>149</v>
      </c>
      <c r="H2" s="4" t="s">
        <v>5</v>
      </c>
      <c r="I2" s="4" t="s">
        <v>6</v>
      </c>
      <c r="J2" s="4" t="s">
        <v>7</v>
      </c>
      <c r="K2" s="5" t="s">
        <v>8</v>
      </c>
      <c r="L2" s="4" t="s">
        <v>10</v>
      </c>
      <c r="M2" s="4" t="s">
        <v>11</v>
      </c>
      <c r="N2" s="4" t="s">
        <v>12</v>
      </c>
      <c r="O2" s="4" t="s">
        <v>13</v>
      </c>
      <c r="P2" s="4" t="s">
        <v>14</v>
      </c>
      <c r="Q2" s="4" t="s">
        <v>156</v>
      </c>
      <c r="R2" s="4" t="s">
        <v>157</v>
      </c>
      <c r="S2" s="4" t="s">
        <v>158</v>
      </c>
      <c r="T2" s="4" t="s">
        <v>15</v>
      </c>
      <c r="U2" s="4" t="s">
        <v>254</v>
      </c>
      <c r="V2" s="4" t="s">
        <v>159</v>
      </c>
      <c r="W2" s="4" t="s">
        <v>160</v>
      </c>
      <c r="X2" s="4" t="s">
        <v>161</v>
      </c>
      <c r="Y2" s="4" t="s">
        <v>226</v>
      </c>
      <c r="Z2" s="23" t="s">
        <v>244</v>
      </c>
      <c r="AA2" s="23" t="s">
        <v>162</v>
      </c>
    </row>
    <row r="3" spans="1:27" x14ac:dyDescent="0.25">
      <c r="A3" s="8">
        <f>IFERROR(IF(tblInputSheet[[#This Row],[Level]] = "", "", tblInputSheet[[#This Row],[Level]]), "")</f>
        <v>0</v>
      </c>
      <c r="B3" s="8">
        <f>IFERROR(IF(tblInputSheet[[#This Row],[Sl.No]] = "", "", tblInputSheet[[#This Row],[Sl.No]]), "")</f>
        <v>1</v>
      </c>
      <c r="C3" s="8" t="str">
        <f>IFERROR(IF(tblInputSheet[[#This Row],[Group]] = "", "", tblInputSheet[[#This Row],[Group]]), "")</f>
        <v>Claim Adjudication</v>
      </c>
      <c r="D3" s="8" t="str">
        <f>IFERROR(IF(tblInputSheet[[#This Row],[Process]] = "", "", REPT("*",Demo!$A3)&amp;""&amp;tblInputSheet[[#This Row],[Process]]), "")</f>
        <v>Claim Adjudication</v>
      </c>
      <c r="E3" s="8" t="str">
        <f>IFERROR(IF(tblInputSheet[[#This Row],[Hosted Platform]] = "", "", tblInputSheet[[#This Row],[Hosted Platform]]), "")</f>
        <v>Business Process</v>
      </c>
      <c r="F3" s="8" t="str">
        <f>IFERROR(IF(tblInputSheet[[#This Row],[Provider]] = "-", "", tblInputSheet[[#This Row],[Provider]]), "")</f>
        <v>NA</v>
      </c>
      <c r="G3" s="8" t="str">
        <f>IFERROR(IF(tblInputSheet[[#This Row],[Consumer]] = "-", "", tblInputSheet[[#This Row],[Consumer]]), "")</f>
        <v>NA</v>
      </c>
      <c r="H3" s="8" t="str">
        <f>IFERROR(IF(tblInputSheet[[#This Row],[Integration Pattern]] = "-", "", tblInputSheet[[#This Row],[Integration Pattern]]), "")</f>
        <v>Group</v>
      </c>
      <c r="I3" s="8" t="str">
        <f>IFERROR(IF(tblInputSheet[[#This Row],[Current State]] = "-", "", tblInputSheet[[#This Row],[Current State]]), "")</f>
        <v>Y</v>
      </c>
      <c r="J3" s="8" t="str">
        <f>IFERROR(IF(tblInputSheet[[#This Row],[End State]] = "-", "", tblInputSheet[[#This Row],[End State]]), "")</f>
        <v>Y</v>
      </c>
      <c r="K3" s="8" t="str">
        <f>IFERROR(IF(tblInputSheet[[#This Row],[MVP]] = "-", "", tblInputSheet[[#This Row],[MVP]]), "")</f>
        <v>Y</v>
      </c>
      <c r="L3" s="8">
        <f>IFERROR(IF(tblInputSheet[[#This Row],[Count of Invocations]] = "", "", tblInputSheet[[#This Row],[Count of Invocations]]), "")</f>
        <v>0</v>
      </c>
      <c r="M3" s="18">
        <f>IFERROR(IF(tblInputSheet[[#This Row],[DB Calls (ms)]] = "", "", tblInputSheet[[#This Row],[DB Calls (ms)]]), "")</f>
        <v>0</v>
      </c>
      <c r="N3" s="18">
        <f>IFERROR(IF(tblInputSheet[[#This Row],[Logic (ms)]] = "", "", tblInputSheet[[#This Row],[Logic (ms)]]), "")</f>
        <v>0</v>
      </c>
      <c r="O3" s="18">
        <f>IFERROR(IF(tblInputSheet[[#This Row],[Rules (ms)]] = "", "", tblInputSheet[[#This Row],[Rules (ms)]]), "")</f>
        <v>0</v>
      </c>
      <c r="P3" s="18">
        <f>IFERROR(IF(tblInputSheet[[#This Row],[Latency (ms)]] = "", "", tblInputSheet[[#This Row],[Latency (ms)]]), "")</f>
        <v>0</v>
      </c>
      <c r="Q3" s="8">
        <f>IFERROR(SUM(tblDisplaySheet2[[#This Row],[DB Calls (ms)]:[Latency (ms)]]), "")</f>
        <v>0</v>
      </c>
      <c r="R3" s="8">
        <f>IFERROR(tblDisplaySheet[[#This Row],[Total Process Time]], "")</f>
        <v>0</v>
      </c>
      <c r="S3" s="8">
        <f>IFERROR(tblDisplaySheet[[#This Row],[Total Process Path Length]], "")</f>
        <v>4334</v>
      </c>
      <c r="T3" s="8">
        <f>IFERROR(tblDisplaySheet[[#This Row],[Process NFR]], "")</f>
        <v>3000</v>
      </c>
      <c r="U3" s="8">
        <f>IFERROR(tblDisplaySheet[[#This Row],[Total Process NFR]], "")</f>
        <v>0</v>
      </c>
      <c r="V3" s="8">
        <f>IFERROR(tblDisplaySheet[[#This Row],[Total Process Path Length NFR]], "")</f>
        <v>4743</v>
      </c>
      <c r="W3" s="8">
        <f>IFERROR(tblDisplaySheet[[#This Row],[Difference]], "")</f>
        <v>409</v>
      </c>
      <c r="X3" s="8" t="str">
        <f>IFERROR(tblDisplaySheet[[#This Row],[Status]], "")</f>
        <v>On Target</v>
      </c>
      <c r="Y3" s="24" t="str">
        <f>IFERROR(tblDisplaySheet[[#This Row],[Is Leaf?]], "")</f>
        <v>G</v>
      </c>
      <c r="Z3" s="24" t="str">
        <f>IFERROR(IF(tblInputSheet[[#This Row],[Owner]] = "", "", tblInputSheet[[#This Row],[Owner]]), "")</f>
        <v>JB</v>
      </c>
      <c r="AA3" s="24" t="str">
        <f>IFERROR(IF(tblInputSheet[[#This Row],[Notes]] = "", "", tblInputSheet[[#This Row],[Notes]]), "")</f>
        <v/>
      </c>
    </row>
    <row r="4" spans="1:27" x14ac:dyDescent="0.25">
      <c r="A4" s="8">
        <f>IFERROR(IF(tblInputSheet[[#This Row],[Level]] = "", "", tblInputSheet[[#This Row],[Level]]), "")</f>
        <v>1</v>
      </c>
      <c r="B4" s="8">
        <f>IFERROR(IF(tblInputSheet[[#This Row],[Sl.No]] = "", "", tblInputSheet[[#This Row],[Sl.No]]), "")</f>
        <v>2</v>
      </c>
      <c r="C4" s="8" t="str">
        <f>IFERROR(IF(tblInputSheet[[#This Row],[Group]] = "", "", tblInputSheet[[#This Row],[Group]]), "")</f>
        <v>RTIS</v>
      </c>
      <c r="D4" s="8" t="str">
        <f>IFERROR(IF(tblInputSheet[[#This Row],[Process]] = "", "", REPT("*",Demo!$A4)&amp;""&amp;tblInputSheet[[#This Row],[Process]]), "")</f>
        <v>*RTIS</v>
      </c>
      <c r="E4" s="8" t="str">
        <f>IFERROR(IF(tblInputSheet[[#This Row],[Hosted Platform]] = "", "", tblInputSheet[[#This Row],[Hosted Platform]]), "")</f>
        <v>Legacy BC</v>
      </c>
      <c r="F4" s="8" t="str">
        <f>IFERROR(IF(tblInputSheet[[#This Row],[Provider]] = "-", "", tblInputSheet[[#This Row],[Provider]]), "")</f>
        <v>Claims-Legacy</v>
      </c>
      <c r="G4" s="8" t="str">
        <f>IFERROR(IF(tblInputSheet[[#This Row],[Consumer]] = "-", "", tblInputSheet[[#This Row],[Consumer]]), "")</f>
        <v>Claims-Legacy</v>
      </c>
      <c r="H4" s="8" t="str">
        <f>IFERROR(IF(tblInputSheet[[#This Row],[Integration Pattern]] = "-", "", tblInputSheet[[#This Row],[Integration Pattern]]), "")</f>
        <v>BC Internal</v>
      </c>
      <c r="I4" s="8" t="str">
        <f>IFERROR(IF(tblInputSheet[[#This Row],[Current State]] = "-", "", tblInputSheet[[#This Row],[Current State]]), "")</f>
        <v>Y</v>
      </c>
      <c r="J4" s="8" t="str">
        <f>IFERROR(IF(tblInputSheet[[#This Row],[End State]] = "-", "", tblInputSheet[[#This Row],[End State]]), "")</f>
        <v>N</v>
      </c>
      <c r="K4" s="8" t="str">
        <f>IFERROR(IF(tblInputSheet[[#This Row],[MVP]] = "-", "", tblInputSheet[[#This Row],[MVP]]), "")</f>
        <v>N</v>
      </c>
      <c r="L4" s="8">
        <f>IFERROR(IF(tblInputSheet[[#This Row],[Count of Invocations]] = "", "", tblInputSheet[[#This Row],[Count of Invocations]]), "")</f>
        <v>1</v>
      </c>
      <c r="M4" s="18">
        <f>IFERROR(IF(tblInputSheet[[#This Row],[DB Calls (ms)]] = "", "", tblInputSheet[[#This Row],[DB Calls (ms)]]), "")</f>
        <v>0</v>
      </c>
      <c r="N4" s="18">
        <f>IFERROR(IF(tblInputSheet[[#This Row],[Logic (ms)]] = "", "", tblInputSheet[[#This Row],[Logic (ms)]]), "")</f>
        <v>0</v>
      </c>
      <c r="O4" s="18">
        <f>IFERROR(IF(tblInputSheet[[#This Row],[Rules (ms)]] = "", "", tblInputSheet[[#This Row],[Rules (ms)]]), "")</f>
        <v>0</v>
      </c>
      <c r="P4" s="18">
        <f>IFERROR(IF(tblInputSheet[[#This Row],[Latency (ms)]] = "", "", tblInputSheet[[#This Row],[Latency (ms)]]), "")</f>
        <v>0</v>
      </c>
      <c r="Q4" s="8">
        <f>IFERROR(SUM(tblDisplaySheet2[[#This Row],[DB Calls (ms)]:[Latency (ms)]]), "")</f>
        <v>0</v>
      </c>
      <c r="R4" s="8">
        <f>IFERROR(tblDisplaySheet[[#This Row],[Total Process Time]], "")</f>
        <v>0</v>
      </c>
      <c r="S4" s="8">
        <f>IFERROR(tblDisplaySheet[[#This Row],[Total Process Path Length]], "")</f>
        <v>4334</v>
      </c>
      <c r="T4" s="8">
        <f>IFERROR(tblDisplaySheet[[#This Row],[Process NFR]], "")</f>
        <v>0</v>
      </c>
      <c r="U4" s="8">
        <f>IFERROR(tblDisplaySheet[[#This Row],[Total Process NFR]], "")</f>
        <v>0</v>
      </c>
      <c r="V4" s="8">
        <f>IFERROR(tblDisplaySheet[[#This Row],[Total Process Path Length NFR]], "")</f>
        <v>4743</v>
      </c>
      <c r="W4" s="8">
        <f>IFERROR(tblDisplaySheet[[#This Row],[Difference]], "")</f>
        <v>409</v>
      </c>
      <c r="X4" s="8" t="str">
        <f>IFERROR(tblDisplaySheet[[#This Row],[Status]], "")</f>
        <v>On Target</v>
      </c>
      <c r="Y4" s="24" t="str">
        <f>IFERROR(tblDisplaySheet[[#This Row],[Is Leaf?]], "")</f>
        <v>N</v>
      </c>
      <c r="Z4" s="24" t="str">
        <f>IFERROR(IF(tblInputSheet[[#This Row],[Owner]] = "", "", tblInputSheet[[#This Row],[Owner]]), "")</f>
        <v>Alak</v>
      </c>
      <c r="AA4" s="24" t="str">
        <f>IFERROR(IF(tblInputSheet[[#This Row],[Notes]] = "", "", tblInputSheet[[#This Row],[Notes]]), "")</f>
        <v/>
      </c>
    </row>
    <row r="5" spans="1:27" x14ac:dyDescent="0.25">
      <c r="A5" s="9">
        <f>IFERROR(IF(tblInputSheet[[#This Row],[Level]] = "", "", tblInputSheet[[#This Row],[Level]]), "")</f>
        <v>2</v>
      </c>
      <c r="B5" s="9">
        <f>IFERROR(IF(tblInputSheet[[#This Row],[Sl.No]] = "", "", tblInputSheet[[#This Row],[Sl.No]]), "")</f>
        <v>3</v>
      </c>
      <c r="C5" s="9" t="str">
        <f>IFERROR(IF(tblInputSheet[[#This Row],[Group]] = "", "", tblInputSheet[[#This Row],[Group]]), "")</f>
        <v>Eligibility</v>
      </c>
      <c r="D5" s="9" t="str">
        <f>IFERROR(IF(tblInputSheet[[#This Row],[Process]] = "", "", REPT("*",Demo!$A5)&amp;""&amp;tblInputSheet[[#This Row],[Process]]), "")</f>
        <v>**Eligibility</v>
      </c>
      <c r="E5" s="9" t="str">
        <f>IFERROR(IF(tblInputSheet[[#This Row],[Hosted Platform]] = "", "", tblInputSheet[[#This Row],[Hosted Platform]]), "")</f>
        <v>Business Process</v>
      </c>
      <c r="F5" s="9" t="str">
        <f>IFERROR(IF(tblInputSheet[[#This Row],[Provider]] = "-", "", tblInputSheet[[#This Row],[Provider]]), "")</f>
        <v>NA</v>
      </c>
      <c r="G5" s="9" t="str">
        <f>IFERROR(IF(tblInputSheet[[#This Row],[Consumer]] = "-", "", tblInputSheet[[#This Row],[Consumer]]), "")</f>
        <v>NA</v>
      </c>
      <c r="H5" s="9" t="str">
        <f>IFERROR(IF(tblInputSheet[[#This Row],[Integration Pattern]] = "-", "", tblInputSheet[[#This Row],[Integration Pattern]]), "")</f>
        <v>ESB - MQ Integration</v>
      </c>
      <c r="I5" s="9" t="str">
        <f>IFERROR(IF(tblInputSheet[[#This Row],[Current State]] = "-", "", tblInputSheet[[#This Row],[Current State]]), "")</f>
        <v>Y</v>
      </c>
      <c r="J5" s="9" t="str">
        <f>IFERROR(IF(tblInputSheet[[#This Row],[End State]] = "-", "", tblInputSheet[[#This Row],[End State]]), "")</f>
        <v>Y</v>
      </c>
      <c r="K5" s="9" t="str">
        <f>IFERROR(IF(tblInputSheet[[#This Row],[MVP]] = "-", "", tblInputSheet[[#This Row],[MVP]]), "")</f>
        <v>Y</v>
      </c>
      <c r="L5" s="8">
        <f>IFERROR(IF(tblInputSheet[[#This Row],[Count of Invocations]] = "", "", tblInputSheet[[#This Row],[Count of Invocations]]), "")</f>
        <v>1</v>
      </c>
      <c r="M5" s="18">
        <f>IFERROR(IF(tblInputSheet[[#This Row],[DB Calls (ms)]] = "", "", tblInputSheet[[#This Row],[DB Calls (ms)]]), "")</f>
        <v>0</v>
      </c>
      <c r="N5" s="18">
        <f>IFERROR(IF(tblInputSheet[[#This Row],[Logic (ms)]] = "", "", tblInputSheet[[#This Row],[Logic (ms)]]), "")</f>
        <v>0</v>
      </c>
      <c r="O5" s="18">
        <f>IFERROR(IF(tblInputSheet[[#This Row],[Rules (ms)]] = "", "", tblInputSheet[[#This Row],[Rules (ms)]]), "")</f>
        <v>0</v>
      </c>
      <c r="P5" s="18">
        <f>IFERROR(IF(tblInputSheet[[#This Row],[Latency (ms)]] = "", "", tblInputSheet[[#This Row],[Latency (ms)]]), "")</f>
        <v>0</v>
      </c>
      <c r="Q5" s="8">
        <f>IFERROR(SUM(tblDisplaySheet2[[#This Row],[DB Calls (ms)]:[Latency (ms)]]), "")</f>
        <v>0</v>
      </c>
      <c r="R5" s="8">
        <f>IFERROR(tblDisplaySheet[[#This Row],[Total Process Time]], "")</f>
        <v>0</v>
      </c>
      <c r="S5" s="8">
        <f>IFERROR(tblDisplaySheet[[#This Row],[Total Process Path Length]], "")</f>
        <v>202</v>
      </c>
      <c r="T5" s="8">
        <f>IFERROR(tblDisplaySheet[[#This Row],[Process NFR]], "")</f>
        <v>0</v>
      </c>
      <c r="U5" s="8">
        <f>IFERROR(tblDisplaySheet[[#This Row],[Total Process NFR]], "")</f>
        <v>0</v>
      </c>
      <c r="V5" s="8">
        <f>IFERROR(tblDisplaySheet[[#This Row],[Total Process Path Length NFR]], "")</f>
        <v>260</v>
      </c>
      <c r="W5" s="8">
        <f>IFERROR(tblDisplaySheet[[#This Row],[Difference]], "")</f>
        <v>58</v>
      </c>
      <c r="X5" s="8" t="str">
        <f>IFERROR(tblDisplaySheet[[#This Row],[Status]], "")</f>
        <v>On Target</v>
      </c>
      <c r="Y5" s="24" t="str">
        <f>IFERROR(tblDisplaySheet[[#This Row],[Is Leaf?]], "")</f>
        <v>G</v>
      </c>
      <c r="Z5" s="24" t="str">
        <f>IFERROR(IF(tblInputSheet[[#This Row],[Owner]] = "", "", tblInputSheet[[#This Row],[Owner]]), "")</f>
        <v>Alak</v>
      </c>
      <c r="AA5" s="24" t="str">
        <f>IFERROR(IF(tblInputSheet[[#This Row],[Notes]] = "", "", tblInputSheet[[#This Row],[Notes]]), "")</f>
        <v/>
      </c>
    </row>
    <row r="6" spans="1:27" x14ac:dyDescent="0.25">
      <c r="A6" s="9">
        <f>IFERROR(IF(tblInputSheet[[#This Row],[Level]] = "", "", tblInputSheet[[#This Row],[Level]]), "")</f>
        <v>3</v>
      </c>
      <c r="B6" s="9">
        <f>IFERROR(IF(tblInputSheet[[#This Row],[Sl.No]] = "", "", tblInputSheet[[#This Row],[Sl.No]]), "")</f>
        <v>4</v>
      </c>
      <c r="C6" s="9" t="str">
        <f>IFERROR(IF(tblInputSheet[[#This Row],[Group]] = "", "", tblInputSheet[[#This Row],[Group]]), "")</f>
        <v>Eligibility</v>
      </c>
      <c r="D6" s="9" t="str">
        <f>IFERROR(IF(tblInputSheet[[#This Row],[Process]] = "", "", REPT("*",Demo!$A6)&amp;""&amp;tblInputSheet[[#This Row],[Process]]), "")</f>
        <v>***Eligibility Mainline</v>
      </c>
      <c r="E6" s="9" t="str">
        <f>IFERROR(IF(tblInputSheet[[#This Row],[Hosted Platform]] = "", "", tblInputSheet[[#This Row],[Hosted Platform]]), "")</f>
        <v>Legacy BC</v>
      </c>
      <c r="F6" s="9" t="str">
        <f>IFERROR(IF(tblInputSheet[[#This Row],[Provider]] = "-", "", tblInputSheet[[#This Row],[Provider]]), "")</f>
        <v>Claims-Legacy</v>
      </c>
      <c r="G6" s="9" t="str">
        <f>IFERROR(IF(tblInputSheet[[#This Row],[Consumer]] = "-", "", tblInputSheet[[#This Row],[Consumer]]), "")</f>
        <v>Claims-Legacy</v>
      </c>
      <c r="H6" s="9" t="str">
        <f>IFERROR(IF(tblInputSheet[[#This Row],[Integration Pattern]] = "-", "", tblInputSheet[[#This Row],[Integration Pattern]]), "")</f>
        <v>BC Internal</v>
      </c>
      <c r="I6" s="9" t="str">
        <f>IFERROR(IF(tblInputSheet[[#This Row],[Current State]] = "-", "", tblInputSheet[[#This Row],[Current State]]), "")</f>
        <v>Y</v>
      </c>
      <c r="J6" s="9" t="str">
        <f>IFERROR(IF(tblInputSheet[[#This Row],[End State]] = "-", "", tblInputSheet[[#This Row],[End State]]), "")</f>
        <v>Y</v>
      </c>
      <c r="K6" s="9" t="str">
        <f>IFERROR(IF(tblInputSheet[[#This Row],[MVP]] = "-", "", tblInputSheet[[#This Row],[MVP]]), "")</f>
        <v>N</v>
      </c>
      <c r="L6" s="8">
        <f>IFERROR(IF(tblInputSheet[[#This Row],[Count of Invocations]] = "", "", tblInputSheet[[#This Row],[Count of Invocations]]), "")</f>
        <v>1</v>
      </c>
      <c r="M6" s="18">
        <f>IFERROR(IF(tblInputSheet[[#This Row],[DB Calls (ms)]] = "", "", tblInputSheet[[#This Row],[DB Calls (ms)]]), "")</f>
        <v>0</v>
      </c>
      <c r="N6" s="18">
        <f>IFERROR(IF(tblInputSheet[[#This Row],[Logic (ms)]] = "", "", tblInputSheet[[#This Row],[Logic (ms)]]), "")</f>
        <v>10</v>
      </c>
      <c r="O6" s="18">
        <f>IFERROR(IF(tblInputSheet[[#This Row],[Rules (ms)]] = "", "", tblInputSheet[[#This Row],[Rules (ms)]]), "")</f>
        <v>0</v>
      </c>
      <c r="P6" s="18">
        <f>IFERROR(IF(tblInputSheet[[#This Row],[Latency (ms)]] = "", "", tblInputSheet[[#This Row],[Latency (ms)]]), "")</f>
        <v>0</v>
      </c>
      <c r="Q6" s="8">
        <f>IFERROR(SUM(tblDisplaySheet2[[#This Row],[DB Calls (ms)]:[Latency (ms)]]), "")</f>
        <v>10</v>
      </c>
      <c r="R6" s="8">
        <f>IFERROR(tblDisplaySheet[[#This Row],[Total Process Time]], "")</f>
        <v>10</v>
      </c>
      <c r="S6" s="8">
        <f>IFERROR(tblDisplaySheet[[#This Row],[Total Process Path Length]], "")</f>
        <v>202</v>
      </c>
      <c r="T6" s="8">
        <f>IFERROR(tblDisplaySheet[[#This Row],[Process NFR]], "")</f>
        <v>20</v>
      </c>
      <c r="U6" s="8">
        <f>IFERROR(tblDisplaySheet[[#This Row],[Total Process NFR]], "")</f>
        <v>20</v>
      </c>
      <c r="V6" s="8">
        <f>IFERROR(tblDisplaySheet[[#This Row],[Total Process Path Length NFR]], "")</f>
        <v>260</v>
      </c>
      <c r="W6" s="8">
        <f>IFERROR(tblDisplaySheet[[#This Row],[Difference]], "")</f>
        <v>58</v>
      </c>
      <c r="X6" s="8" t="str">
        <f>IFERROR(tblDisplaySheet[[#This Row],[Status]], "")</f>
        <v>On Target</v>
      </c>
      <c r="Y6" s="24" t="str">
        <f>IFERROR(tblDisplaySheet[[#This Row],[Is Leaf?]], "")</f>
        <v>N</v>
      </c>
      <c r="Z6" s="24" t="str">
        <f>IFERROR(IF(tblInputSheet[[#This Row],[Owner]] = "", "", tblInputSheet[[#This Row],[Owner]]), "")</f>
        <v>Alak</v>
      </c>
      <c r="AA6" s="24" t="str">
        <f>IFERROR(IF(tblInputSheet[[#This Row],[Notes]] = "", "", tblInputSheet[[#This Row],[Notes]]), "")</f>
        <v/>
      </c>
    </row>
    <row r="7" spans="1:27" x14ac:dyDescent="0.25">
      <c r="A7" s="9">
        <f>IFERROR(IF(tblInputSheet[[#This Row],[Level]] = "", "", tblInputSheet[[#This Row],[Level]]), "")</f>
        <v>4</v>
      </c>
      <c r="B7" s="9">
        <f>IFERROR(IF(tblInputSheet[[#This Row],[Sl.No]] = "", "", tblInputSheet[[#This Row],[Sl.No]]), "")</f>
        <v>5</v>
      </c>
      <c r="C7" s="9" t="str">
        <f>IFERROR(IF(tblInputSheet[[#This Row],[Group]] = "", "", tblInputSheet[[#This Row],[Group]]), "")</f>
        <v>Eligibility</v>
      </c>
      <c r="D7" s="9" t="str">
        <f>IFERROR(IF(tblInputSheet[[#This Row],[Process]] = "", "", REPT("*",Demo!$A7)&amp;""&amp;tblInputSheet[[#This Row],[Process]]), "")</f>
        <v>****Mule Eligibility Adapter</v>
      </c>
      <c r="E7" s="9" t="str">
        <f>IFERROR(IF(tblInputSheet[[#This Row],[Hosted Platform]] = "", "", tblInputSheet[[#This Row],[Hosted Platform]]), "")</f>
        <v>Mule ESB</v>
      </c>
      <c r="F7" s="9" t="str">
        <f>IFERROR(IF(tblInputSheet[[#This Row],[Provider]] = "-", "", tblInputSheet[[#This Row],[Provider]]), "")</f>
        <v>Key-Claims Adjudication</v>
      </c>
      <c r="G7" s="9" t="str">
        <f>IFERROR(IF(tblInputSheet[[#This Row],[Consumer]] = "-", "", tblInputSheet[[#This Row],[Consumer]]), "")</f>
        <v>Key-Claims Adjudication</v>
      </c>
      <c r="H7" s="9" t="str">
        <f>IFERROR(IF(tblInputSheet[[#This Row],[Integration Pattern]] = "-", "", tblInputSheet[[#This Row],[Integration Pattern]]), "")</f>
        <v>ESB - MQ Integration</v>
      </c>
      <c r="I7" s="9" t="str">
        <f>IFERROR(IF(tblInputSheet[[#This Row],[Current State]] = "-", "", tblInputSheet[[#This Row],[Current State]]), "")</f>
        <v>Y</v>
      </c>
      <c r="J7" s="9" t="str">
        <f>IFERROR(IF(tblInputSheet[[#This Row],[End State]] = "-", "", tblInputSheet[[#This Row],[End State]]), "")</f>
        <v>N</v>
      </c>
      <c r="K7" s="9" t="str">
        <f>IFERROR(IF(tblInputSheet[[#This Row],[MVP]] = "-", "", tblInputSheet[[#This Row],[MVP]]), "")</f>
        <v>Y</v>
      </c>
      <c r="L7" s="8">
        <f>IFERROR(IF(tblInputSheet[[#This Row],[Count of Invocations]] = "", "", tblInputSheet[[#This Row],[Count of Invocations]]), "")</f>
        <v>1</v>
      </c>
      <c r="M7" s="18">
        <f>IFERROR(IF(tblInputSheet[[#This Row],[DB Calls (ms)]] = "", "", tblInputSheet[[#This Row],[DB Calls (ms)]]), "")</f>
        <v>0</v>
      </c>
      <c r="N7" s="18">
        <f>IFERROR(IF(tblInputSheet[[#This Row],[Logic (ms)]] = "", "", tblInputSheet[[#This Row],[Logic (ms)]]), "")</f>
        <v>16</v>
      </c>
      <c r="O7" s="18">
        <f>IFERROR(IF(tblInputSheet[[#This Row],[Rules (ms)]] = "", "", tblInputSheet[[#This Row],[Rules (ms)]]), "")</f>
        <v>0</v>
      </c>
      <c r="P7" s="18">
        <f>IFERROR(IF(tblInputSheet[[#This Row],[Latency (ms)]] = "", "", tblInputSheet[[#This Row],[Latency (ms)]]), "")</f>
        <v>15</v>
      </c>
      <c r="Q7" s="8">
        <f>IFERROR(SUM(tblDisplaySheet2[[#This Row],[DB Calls (ms)]:[Latency (ms)]]), "")</f>
        <v>31</v>
      </c>
      <c r="R7" s="8">
        <f>IFERROR(tblDisplaySheet[[#This Row],[Total Process Time]], "")</f>
        <v>31</v>
      </c>
      <c r="S7" s="8">
        <f>IFERROR(tblDisplaySheet[[#This Row],[Total Process Path Length]], "")</f>
        <v>192</v>
      </c>
      <c r="T7" s="8">
        <f>IFERROR(tblDisplaySheet[[#This Row],[Process NFR]], "")</f>
        <v>40</v>
      </c>
      <c r="U7" s="8">
        <f>IFERROR(tblDisplaySheet[[#This Row],[Total Process NFR]], "")</f>
        <v>40</v>
      </c>
      <c r="V7" s="8">
        <f>IFERROR(tblDisplaySheet[[#This Row],[Total Process Path Length NFR]], "")</f>
        <v>240</v>
      </c>
      <c r="W7" s="8">
        <f>IFERROR(tblDisplaySheet[[#This Row],[Difference]], "")</f>
        <v>48</v>
      </c>
      <c r="X7" s="8" t="str">
        <f>IFERROR(tblDisplaySheet[[#This Row],[Status]], "")</f>
        <v>On Target</v>
      </c>
      <c r="Y7" s="24" t="str">
        <f>IFERROR(tblDisplaySheet[[#This Row],[Is Leaf?]], "")</f>
        <v>N</v>
      </c>
      <c r="Z7" s="24" t="str">
        <f>IFERROR(IF(tblInputSheet[[#This Row],[Owner]] = "", "", tblInputSheet[[#This Row],[Owner]]), "")</f>
        <v>Alak</v>
      </c>
      <c r="AA7" s="24" t="str">
        <f>IFERROR(IF(tblInputSheet[[#This Row],[Notes]] = "", "", tblInputSheet[[#This Row],[Notes]]), "")</f>
        <v/>
      </c>
    </row>
    <row r="8" spans="1:27" ht="14.25" hidden="1" customHeight="1" x14ac:dyDescent="0.25">
      <c r="A8" s="9">
        <f>IFERROR(IF(tblInputSheet[[#This Row],[Level]] = "", "", tblInputSheet[[#This Row],[Level]]), "")</f>
        <v>5</v>
      </c>
      <c r="B8" s="9">
        <f>IFERROR(IF(tblInputSheet[[#This Row],[Sl.No]] = "", "", tblInputSheet[[#This Row],[Sl.No]]), "")</f>
        <v>6</v>
      </c>
      <c r="C8" s="9" t="str">
        <f>IFERROR(IF(tblInputSheet[[#This Row],[Group]] = "", "", tblInputSheet[[#This Row],[Group]]), "")</f>
        <v>Eligibility</v>
      </c>
      <c r="D8" s="9" t="str">
        <f>IFERROR(IF(tblInputSheet[[#This Row],[Process]] = "", "", REPT("*",Demo!$A8)&amp;""&amp;tblInputSheet[[#This Row],[Process]]), "")</f>
        <v>*****Eligibility Orchestrator</v>
      </c>
      <c r="E8" s="9" t="str">
        <f>IFERROR(IF(tblInputSheet[[#This Row],[Hosted Platform]] = "", "", tblInputSheet[[#This Row],[Hosted Platform]]), "")</f>
        <v>PCF</v>
      </c>
      <c r="F8" s="9" t="str">
        <f>IFERROR(IF(tblInputSheet[[#This Row],[Provider]] = "-", "", tblInputSheet[[#This Row],[Provider]]), "")</f>
        <v>Key-Claims Adjudication</v>
      </c>
      <c r="G8" s="9" t="str">
        <f>IFERROR(IF(tblInputSheet[[#This Row],[Consumer]] = "-", "", tblInputSheet[[#This Row],[Consumer]]), "")</f>
        <v>Key-Claims Adjudication</v>
      </c>
      <c r="H8" s="9" t="str">
        <f>IFERROR(IF(tblInputSheet[[#This Row],[Integration Pattern]] = "-", "", tblInputSheet[[#This Row],[Integration Pattern]]), "")</f>
        <v>PCF Internal (C-to-C)</v>
      </c>
      <c r="I8" s="9" t="str">
        <f>IFERROR(IF(tblInputSheet[[#This Row],[Current State]] = "-", "", tblInputSheet[[#This Row],[Current State]]), "")</f>
        <v>Y</v>
      </c>
      <c r="J8" s="9" t="str">
        <f>IFERROR(IF(tblInputSheet[[#This Row],[End State]] = "-", "", tblInputSheet[[#This Row],[End State]]), "")</f>
        <v>Y</v>
      </c>
      <c r="K8" s="9" t="str">
        <f>IFERROR(IF(tblInputSheet[[#This Row],[MVP]] = "-", "", tblInputSheet[[#This Row],[MVP]]), "")</f>
        <v>Y</v>
      </c>
      <c r="L8" s="8">
        <f>IFERROR(IF(tblInputSheet[[#This Row],[Count of Invocations]] = "", "", tblInputSheet[[#This Row],[Count of Invocations]]), "")</f>
        <v>1</v>
      </c>
      <c r="M8" s="18">
        <f>IFERROR(IF(tblInputSheet[[#This Row],[DB Calls (ms)]] = "", "", tblInputSheet[[#This Row],[DB Calls (ms)]]), "")</f>
        <v>0</v>
      </c>
      <c r="N8" s="18">
        <f>IFERROR(IF(tblInputSheet[[#This Row],[Logic (ms)]] = "", "", tblInputSheet[[#This Row],[Logic (ms)]]), "")</f>
        <v>5</v>
      </c>
      <c r="O8" s="18">
        <f>IFERROR(IF(tblInputSheet[[#This Row],[Rules (ms)]] = "", "", tblInputSheet[[#This Row],[Rules (ms)]]), "")</f>
        <v>0</v>
      </c>
      <c r="P8" s="18">
        <f>IFERROR(IF(tblInputSheet[[#This Row],[Latency (ms)]] = "", "", tblInputSheet[[#This Row],[Latency (ms)]]), "")</f>
        <v>5</v>
      </c>
      <c r="Q8" s="8">
        <f>IFERROR(SUM(tblDisplaySheet2[[#This Row],[DB Calls (ms)]:[Latency (ms)]]), "")</f>
        <v>10</v>
      </c>
      <c r="R8" s="8">
        <f>IFERROR(tblDisplaySheet[[#This Row],[Total Process Time]], "")</f>
        <v>10</v>
      </c>
      <c r="S8" s="8">
        <f>IFERROR(tblDisplaySheet[[#This Row],[Total Process Path Length]], "")</f>
        <v>161</v>
      </c>
      <c r="T8" s="8">
        <f>IFERROR(tblDisplaySheet[[#This Row],[Process NFR]], "")</f>
        <v>20</v>
      </c>
      <c r="U8" s="8">
        <f>IFERROR(tblDisplaySheet[[#This Row],[Total Process NFR]], "")</f>
        <v>20</v>
      </c>
      <c r="V8" s="8">
        <f>IFERROR(tblDisplaySheet[[#This Row],[Total Process Path Length NFR]], "")</f>
        <v>200</v>
      </c>
      <c r="W8" s="8">
        <f>IFERROR(tblDisplaySheet[[#This Row],[Difference]], "")</f>
        <v>39</v>
      </c>
      <c r="X8" s="8" t="str">
        <f>IFERROR(tblDisplaySheet[[#This Row],[Status]], "")</f>
        <v>On Target</v>
      </c>
      <c r="Y8" s="24" t="str">
        <f>IFERROR(tblDisplaySheet[[#This Row],[Is Leaf?]], "")</f>
        <v>N</v>
      </c>
      <c r="Z8" s="24" t="str">
        <f>IFERROR(IF(tblInputSheet[[#This Row],[Owner]] = "", "", tblInputSheet[[#This Row],[Owner]]), "")</f>
        <v>Alak</v>
      </c>
      <c r="AA8" s="24" t="str">
        <f>IFERROR(IF(tblInputSheet[[#This Row],[Notes]] = "", "", tblInputSheet[[#This Row],[Notes]]), "")</f>
        <v/>
      </c>
    </row>
    <row r="9" spans="1:27" hidden="1" x14ac:dyDescent="0.25">
      <c r="A9" s="9">
        <f>IFERROR(IF(tblInputSheet[[#This Row],[Level]] = "", "", tblInputSheet[[#This Row],[Level]]), "")</f>
        <v>6</v>
      </c>
      <c r="B9" s="9">
        <f>IFERROR(IF(tblInputSheet[[#This Row],[Sl.No]] = "", "", tblInputSheet[[#This Row],[Sl.No]]), "")</f>
        <v>7</v>
      </c>
      <c r="C9" s="9" t="str">
        <f>IFERROR(IF(tblInputSheet[[#This Row],[Group]] = "", "", tblInputSheet[[#This Row],[Group]]), "")</f>
        <v>Eligibility</v>
      </c>
      <c r="D9" s="9" t="str">
        <f>IFERROR(IF(tblInputSheet[[#This Row],[Process]] = "", "", REPT("*",Demo!$A9)&amp;""&amp;tblInputSheet[[#This Row],[Process]]), "")</f>
        <v>******Member Match &amp; Eligibility Microservice</v>
      </c>
      <c r="E9" s="9" t="str">
        <f>IFERROR(IF(tblInputSheet[[#This Row],[Hosted Platform]] = "", "", tblInputSheet[[#This Row],[Hosted Platform]]), "")</f>
        <v>PCF</v>
      </c>
      <c r="F9" s="9" t="str">
        <f>IFERROR(IF(tblInputSheet[[#This Row],[Provider]] = "-", "", tblInputSheet[[#This Row],[Provider]]), "")</f>
        <v>Key-Claims Adjudication</v>
      </c>
      <c r="G9" s="9" t="str">
        <f>IFERROR(IF(tblInputSheet[[#This Row],[Consumer]] = "-", "", tblInputSheet[[#This Row],[Consumer]]), "")</f>
        <v>Key-Claims Adjudication</v>
      </c>
      <c r="H9" s="9" t="str">
        <f>IFERROR(IF(tblInputSheet[[#This Row],[Integration Pattern]] = "-", "", tblInputSheet[[#This Row],[Integration Pattern]]), "")</f>
        <v>PCF Internal (C-to-C)</v>
      </c>
      <c r="I9" s="9" t="str">
        <f>IFERROR(IF(tblInputSheet[[#This Row],[Current State]] = "-", "", tblInputSheet[[#This Row],[Current State]]), "")</f>
        <v>Y</v>
      </c>
      <c r="J9" s="9" t="str">
        <f>IFERROR(IF(tblInputSheet[[#This Row],[End State]] = "-", "", tblInputSheet[[#This Row],[End State]]), "")</f>
        <v>Y</v>
      </c>
      <c r="K9" s="9" t="str">
        <f>IFERROR(IF(tblInputSheet[[#This Row],[MVP]] = "-", "", tblInputSheet[[#This Row],[MVP]]), "")</f>
        <v>Y</v>
      </c>
      <c r="L9" s="8">
        <f>IFERROR(IF(tblInputSheet[[#This Row],[Count of Invocations]] = "", "", tblInputSheet[[#This Row],[Count of Invocations]]), "")</f>
        <v>1</v>
      </c>
      <c r="M9" s="18">
        <f>IFERROR(IF(tblInputSheet[[#This Row],[DB Calls (ms)]] = "", "", tblInputSheet[[#This Row],[DB Calls (ms)]]), "")</f>
        <v>0</v>
      </c>
      <c r="N9" s="18">
        <f>IFERROR(IF(tblInputSheet[[#This Row],[Logic (ms)]] = "", "", tblInputSheet[[#This Row],[Logic (ms)]]), "")</f>
        <v>20</v>
      </c>
      <c r="O9" s="18">
        <f>IFERROR(IF(tblInputSheet[[#This Row],[Rules (ms)]] = "", "", tblInputSheet[[#This Row],[Rules (ms)]]), "")</f>
        <v>0</v>
      </c>
      <c r="P9" s="18">
        <f>IFERROR(IF(tblInputSheet[[#This Row],[Latency (ms)]] = "", "", tblInputSheet[[#This Row],[Latency (ms)]]), "")</f>
        <v>5</v>
      </c>
      <c r="Q9" s="8">
        <f>IFERROR(SUM(tblDisplaySheet2[[#This Row],[DB Calls (ms)]:[Latency (ms)]]), "")</f>
        <v>25</v>
      </c>
      <c r="R9" s="8">
        <f>IFERROR(tblDisplaySheet[[#This Row],[Total Process Time]], "")</f>
        <v>25</v>
      </c>
      <c r="S9" s="8">
        <f>IFERROR(tblDisplaySheet[[#This Row],[Total Process Path Length]], "")</f>
        <v>94</v>
      </c>
      <c r="T9" s="8">
        <f>IFERROR(tblDisplaySheet[[#This Row],[Process NFR]], "")</f>
        <v>25</v>
      </c>
      <c r="U9" s="8">
        <f>IFERROR(tblDisplaySheet[[#This Row],[Total Process NFR]], "")</f>
        <v>25</v>
      </c>
      <c r="V9" s="8">
        <f>IFERROR(tblDisplaySheet[[#This Row],[Total Process Path Length NFR]], "")</f>
        <v>105</v>
      </c>
      <c r="W9" s="8">
        <f>IFERROR(tblDisplaySheet[[#This Row],[Difference]], "")</f>
        <v>11</v>
      </c>
      <c r="X9" s="8" t="str">
        <f>IFERROR(tblDisplaySheet[[#This Row],[Status]], "")</f>
        <v>On Target</v>
      </c>
      <c r="Y9" s="24" t="str">
        <f>IFERROR(tblDisplaySheet[[#This Row],[Is Leaf?]], "")</f>
        <v>N</v>
      </c>
      <c r="Z9" s="24" t="str">
        <f>IFERROR(IF(tblInputSheet[[#This Row],[Owner]] = "", "", tblInputSheet[[#This Row],[Owner]]), "")</f>
        <v>Alak</v>
      </c>
      <c r="AA9" s="24" t="str">
        <f>IFERROR(IF(tblInputSheet[[#This Row],[Notes]] = "", "", tblInputSheet[[#This Row],[Notes]]), "")</f>
        <v/>
      </c>
    </row>
    <row r="10" spans="1:27" hidden="1" x14ac:dyDescent="0.25">
      <c r="A10" s="9">
        <f>IFERROR(IF(tblInputSheet[[#This Row],[Level]] = "", "", tblInputSheet[[#This Row],[Level]]), "")</f>
        <v>7</v>
      </c>
      <c r="B10" s="9">
        <f>IFERROR(IF(tblInputSheet[[#This Row],[Sl.No]] = "", "", tblInputSheet[[#This Row],[Sl.No]]), "")</f>
        <v>8</v>
      </c>
      <c r="C10" s="9" t="str">
        <f>IFERROR(IF(tblInputSheet[[#This Row],[Group]] = "", "", tblInputSheet[[#This Row],[Group]]), "")</f>
        <v>Eligibility</v>
      </c>
      <c r="D10" s="9" t="str">
        <f>IFERROR(IF(tblInputSheet[[#This Row],[Process]] = "", "", REPT("*",Demo!$A10)&amp;""&amp;tblInputSheet[[#This Row],[Process]]), "")</f>
        <v>*******Reference Lookup Microservice</v>
      </c>
      <c r="E10" s="9" t="str">
        <f>IFERROR(IF(tblInputSheet[[#This Row],[Hosted Platform]] = "", "", tblInputSheet[[#This Row],[Hosted Platform]]), "")</f>
        <v>PCF</v>
      </c>
      <c r="F10" s="9" t="str">
        <f>IFERROR(IF(tblInputSheet[[#This Row],[Provider]] = "-", "", tblInputSheet[[#This Row],[Provider]]), "")</f>
        <v>Key-Claims Adjudication</v>
      </c>
      <c r="G10" s="9" t="str">
        <f>IFERROR(IF(tblInputSheet[[#This Row],[Consumer]] = "-", "", tblInputSheet[[#This Row],[Consumer]]), "")</f>
        <v>Key-Claims Adjudication</v>
      </c>
      <c r="H10" s="9" t="str">
        <f>IFERROR(IF(tblInputSheet[[#This Row],[Integration Pattern]] = "-", "", tblInputSheet[[#This Row],[Integration Pattern]]), "")</f>
        <v>PCF Internal (C-to-C)</v>
      </c>
      <c r="I10" s="9" t="str">
        <f>IFERROR(IF(tblInputSheet[[#This Row],[Current State]] = "-", "", tblInputSheet[[#This Row],[Current State]]), "")</f>
        <v>Y</v>
      </c>
      <c r="J10" s="9" t="str">
        <f>IFERROR(IF(tblInputSheet[[#This Row],[End State]] = "-", "", tblInputSheet[[#This Row],[End State]]), "")</f>
        <v>Y</v>
      </c>
      <c r="K10" s="9" t="str">
        <f>IFERROR(IF(tblInputSheet[[#This Row],[MVP]] = "-", "", tblInputSheet[[#This Row],[MVP]]), "")</f>
        <v>Y</v>
      </c>
      <c r="L10" s="8">
        <f>IFERROR(IF(tblInputSheet[[#This Row],[Count of Invocations]] = "", "", tblInputSheet[[#This Row],[Count of Invocations]]), "")</f>
        <v>1</v>
      </c>
      <c r="M10" s="18">
        <f>IFERROR(IF(tblInputSheet[[#This Row],[DB Calls (ms)]] = "", "", tblInputSheet[[#This Row],[DB Calls (ms)]]), "")</f>
        <v>0</v>
      </c>
      <c r="N10" s="18">
        <f>IFERROR(IF(tblInputSheet[[#This Row],[Logic (ms)]] = "", "", tblInputSheet[[#This Row],[Logic (ms)]]), "")</f>
        <v>1</v>
      </c>
      <c r="O10" s="18">
        <f>IFERROR(IF(tblInputSheet[[#This Row],[Rules (ms)]] = "", "", tblInputSheet[[#This Row],[Rules (ms)]]), "")</f>
        <v>0</v>
      </c>
      <c r="P10" s="18">
        <f>IFERROR(IF(tblInputSheet[[#This Row],[Latency (ms)]] = "", "", tblInputSheet[[#This Row],[Latency (ms)]]), "")</f>
        <v>5</v>
      </c>
      <c r="Q10" s="8">
        <f>IFERROR(SUM(tblDisplaySheet2[[#This Row],[DB Calls (ms)]:[Latency (ms)]]), "")</f>
        <v>6</v>
      </c>
      <c r="R10" s="8">
        <f>IFERROR(tblDisplaySheet[[#This Row],[Total Process Time]], "")</f>
        <v>6</v>
      </c>
      <c r="S10" s="8">
        <f>IFERROR(tblDisplaySheet[[#This Row],[Total Process Path Length]], "")</f>
        <v>6</v>
      </c>
      <c r="T10" s="8">
        <f>IFERROR(tblDisplaySheet[[#This Row],[Process NFR]], "")</f>
        <v>10</v>
      </c>
      <c r="U10" s="8">
        <f>IFERROR(tblDisplaySheet[[#This Row],[Total Process NFR]], "")</f>
        <v>10</v>
      </c>
      <c r="V10" s="8">
        <f>IFERROR(tblDisplaySheet[[#This Row],[Total Process Path Length NFR]], "")</f>
        <v>10</v>
      </c>
      <c r="W10" s="8">
        <f>IFERROR(tblDisplaySheet[[#This Row],[Difference]], "")</f>
        <v>4</v>
      </c>
      <c r="X10" s="8" t="str">
        <f>IFERROR(tblDisplaySheet[[#This Row],[Status]], "")</f>
        <v>On Target</v>
      </c>
      <c r="Y10" s="24" t="str">
        <f>IFERROR(tblDisplaySheet[[#This Row],[Is Leaf?]], "")</f>
        <v>Y</v>
      </c>
      <c r="Z10" s="24" t="str">
        <f>IFERROR(IF(tblInputSheet[[#This Row],[Owner]] = "", "", tblInputSheet[[#This Row],[Owner]]), "")</f>
        <v>Alak</v>
      </c>
      <c r="AA10" s="24" t="str">
        <f>IFERROR(IF(tblInputSheet[[#This Row],[Notes]] = "", "", tblInputSheet[[#This Row],[Notes]]), "")</f>
        <v/>
      </c>
    </row>
    <row r="11" spans="1:27" hidden="1" x14ac:dyDescent="0.25">
      <c r="A11" s="9">
        <f>IFERROR(IF(tblInputSheet[[#This Row],[Level]] = "", "", tblInputSheet[[#This Row],[Level]]), "")</f>
        <v>7</v>
      </c>
      <c r="B11" s="9">
        <f>IFERROR(IF(tblInputSheet[[#This Row],[Sl.No]] = "", "", tblInputSheet[[#This Row],[Sl.No]]), "")</f>
        <v>9</v>
      </c>
      <c r="C11" s="9" t="str">
        <f>IFERROR(IF(tblInputSheet[[#This Row],[Group]] = "", "", tblInputSheet[[#This Row],[Group]]), "")</f>
        <v>Eligibility</v>
      </c>
      <c r="D11" s="9" t="str">
        <f>IFERROR(IF(tblInputSheet[[#This Row],[Process]] = "", "", REPT("*",Demo!$A11)&amp;""&amp;tblInputSheet[[#This Row],[Process]]), "")</f>
        <v>*******Contract API</v>
      </c>
      <c r="E11" s="9" t="str">
        <f>IFERROR(IF(tblInputSheet[[#This Row],[Hosted Platform]] = "", "", tblInputSheet[[#This Row],[Hosted Platform]]), "")</f>
        <v>PCF</v>
      </c>
      <c r="F11" s="9" t="str">
        <f>IFERROR(IF(tblInputSheet[[#This Row],[Provider]] = "-", "", tblInputSheet[[#This Row],[Provider]]), "")</f>
        <v>Key-Claims Adjudication</v>
      </c>
      <c r="G11" s="9" t="str">
        <f>IFERROR(IF(tblInputSheet[[#This Row],[Consumer]] = "-", "", tblInputSheet[[#This Row],[Consumer]]), "")</f>
        <v>Key-Claims Adjudication</v>
      </c>
      <c r="H11" s="9" t="str">
        <f>IFERROR(IF(tblInputSheet[[#This Row],[Integration Pattern]] = "-", "", tblInputSheet[[#This Row],[Integration Pattern]]), "")</f>
        <v>PCF Internal (C-to-C)</v>
      </c>
      <c r="I11" s="9" t="str">
        <f>IFERROR(IF(tblInputSheet[[#This Row],[Current State]] = "-", "", tblInputSheet[[#This Row],[Current State]]), "")</f>
        <v>Y</v>
      </c>
      <c r="J11" s="9" t="str">
        <f>IFERROR(IF(tblInputSheet[[#This Row],[End State]] = "-", "", tblInputSheet[[#This Row],[End State]]), "")</f>
        <v>Y</v>
      </c>
      <c r="K11" s="9" t="str">
        <f>IFERROR(IF(tblInputSheet[[#This Row],[MVP]] = "-", "", tblInputSheet[[#This Row],[MVP]]), "")</f>
        <v>Y</v>
      </c>
      <c r="L11" s="8">
        <f>IFERROR(IF(tblInputSheet[[#This Row],[Count of Invocations]] = "", "", tblInputSheet[[#This Row],[Count of Invocations]]), "")</f>
        <v>1</v>
      </c>
      <c r="M11" s="18">
        <f>IFERROR(IF(tblInputSheet[[#This Row],[DB Calls (ms)]] = "", "", tblInputSheet[[#This Row],[DB Calls (ms)]]), "")</f>
        <v>5</v>
      </c>
      <c r="N11" s="18">
        <f>IFERROR(IF(tblInputSheet[[#This Row],[Logic (ms)]] = "", "", tblInputSheet[[#This Row],[Logic (ms)]]), "")</f>
        <v>30</v>
      </c>
      <c r="O11" s="18">
        <f>IFERROR(IF(tblInputSheet[[#This Row],[Rules (ms)]] = "", "", tblInputSheet[[#This Row],[Rules (ms)]]), "")</f>
        <v>0</v>
      </c>
      <c r="P11" s="18">
        <f>IFERROR(IF(tblInputSheet[[#This Row],[Latency (ms)]] = "", "", tblInputSheet[[#This Row],[Latency (ms)]]), "")</f>
        <v>10</v>
      </c>
      <c r="Q11" s="8">
        <f>IFERROR(SUM(tblDisplaySheet2[[#This Row],[DB Calls (ms)]:[Latency (ms)]]), "")</f>
        <v>45</v>
      </c>
      <c r="R11" s="8">
        <f>IFERROR(tblDisplaySheet[[#This Row],[Total Process Time]], "")</f>
        <v>45</v>
      </c>
      <c r="S11" s="8">
        <f>IFERROR(tblDisplaySheet[[#This Row],[Total Process Path Length]], "")</f>
        <v>45</v>
      </c>
      <c r="T11" s="8">
        <f>IFERROR(tblDisplaySheet[[#This Row],[Process NFR]], "")</f>
        <v>50</v>
      </c>
      <c r="U11" s="8">
        <f>IFERROR(tblDisplaySheet[[#This Row],[Total Process NFR]], "")</f>
        <v>50</v>
      </c>
      <c r="V11" s="8">
        <f>IFERROR(tblDisplaySheet[[#This Row],[Total Process Path Length NFR]], "")</f>
        <v>50</v>
      </c>
      <c r="W11" s="8">
        <f>IFERROR(tblDisplaySheet[[#This Row],[Difference]], "")</f>
        <v>5</v>
      </c>
      <c r="X11" s="8" t="str">
        <f>IFERROR(tblDisplaySheet[[#This Row],[Status]], "")</f>
        <v>On Target</v>
      </c>
      <c r="Y11" s="24" t="str">
        <f>IFERROR(tblDisplaySheet[[#This Row],[Is Leaf?]], "")</f>
        <v>Y</v>
      </c>
      <c r="Z11" s="24" t="str">
        <f>IFERROR(IF(tblInputSheet[[#This Row],[Owner]] = "", "", tblInputSheet[[#This Row],[Owner]]), "")</f>
        <v>Greg</v>
      </c>
      <c r="AA11" s="24" t="str">
        <f>IFERROR(IF(tblInputSheet[[#This Row],[Notes]] = "", "", tblInputSheet[[#This Row],[Notes]]), "")</f>
        <v/>
      </c>
    </row>
    <row r="12" spans="1:27" hidden="1" x14ac:dyDescent="0.25">
      <c r="A12" s="9">
        <f>IFERROR(IF(tblInputSheet[[#This Row],[Level]] = "", "", tblInputSheet[[#This Row],[Level]]), "")</f>
        <v>7</v>
      </c>
      <c r="B12" s="9">
        <f>IFERROR(IF(tblInputSheet[[#This Row],[Sl.No]] = "", "", tblInputSheet[[#This Row],[Sl.No]]), "")</f>
        <v>10</v>
      </c>
      <c r="C12" s="9" t="str">
        <f>IFERROR(IF(tblInputSheet[[#This Row],[Group]] = "", "", tblInputSheet[[#This Row],[Group]]), "")</f>
        <v>Eligibility</v>
      </c>
      <c r="D12" s="9" t="str">
        <f>IFERROR(IF(tblInputSheet[[#This Row],[Process]] = "", "", REPT("*",Demo!$A12)&amp;""&amp;tblInputSheet[[#This Row],[Process]]), "")</f>
        <v>*******Claim Member Microservice</v>
      </c>
      <c r="E12" s="9" t="str">
        <f>IFERROR(IF(tblInputSheet[[#This Row],[Hosted Platform]] = "", "", tblInputSheet[[#This Row],[Hosted Platform]]), "")</f>
        <v>PCF</v>
      </c>
      <c r="F12" s="9" t="str">
        <f>IFERROR(IF(tblInputSheet[[#This Row],[Provider]] = "-", "", tblInputSheet[[#This Row],[Provider]]), "")</f>
        <v>Key-Claims Adjudication</v>
      </c>
      <c r="G12" s="9" t="str">
        <f>IFERROR(IF(tblInputSheet[[#This Row],[Consumer]] = "-", "", tblInputSheet[[#This Row],[Consumer]]), "")</f>
        <v>Key-Claims Adjudication</v>
      </c>
      <c r="H12" s="9" t="str">
        <f>IFERROR(IF(tblInputSheet[[#This Row],[Integration Pattern]] = "-", "", tblInputSheet[[#This Row],[Integration Pattern]]), "")</f>
        <v>PCF Internal (C-to-C)</v>
      </c>
      <c r="I12" s="9" t="str">
        <f>IFERROR(IF(tblInputSheet[[#This Row],[Current State]] = "-", "", tblInputSheet[[#This Row],[Current State]]), "")</f>
        <v>Y</v>
      </c>
      <c r="J12" s="9" t="str">
        <f>IFERROR(IF(tblInputSheet[[#This Row],[End State]] = "-", "", tblInputSheet[[#This Row],[End State]]), "")</f>
        <v>Y</v>
      </c>
      <c r="K12" s="9" t="str">
        <f>IFERROR(IF(tblInputSheet[[#This Row],[MVP]] = "-", "", tblInputSheet[[#This Row],[MVP]]), "")</f>
        <v>Y</v>
      </c>
      <c r="L12" s="8">
        <f>IFERROR(IF(tblInputSheet[[#This Row],[Count of Invocations]] = "", "", tblInputSheet[[#This Row],[Count of Invocations]]), "")</f>
        <v>1</v>
      </c>
      <c r="M12" s="18">
        <f>IFERROR(IF(tblInputSheet[[#This Row],[DB Calls (ms)]] = "", "", tblInputSheet[[#This Row],[DB Calls (ms)]]), "")</f>
        <v>1</v>
      </c>
      <c r="N12" s="18">
        <f>IFERROR(IF(tblInputSheet[[#This Row],[Logic (ms)]] = "", "", tblInputSheet[[#This Row],[Logic (ms)]]), "")</f>
        <v>12</v>
      </c>
      <c r="O12" s="18">
        <f>IFERROR(IF(tblInputSheet[[#This Row],[Rules (ms)]] = "", "", tblInputSheet[[#This Row],[Rules (ms)]]), "")</f>
        <v>0</v>
      </c>
      <c r="P12" s="18">
        <f>IFERROR(IF(tblInputSheet[[#This Row],[Latency (ms)]] = "", "", tblInputSheet[[#This Row],[Latency (ms)]]), "")</f>
        <v>5</v>
      </c>
      <c r="Q12" s="8">
        <f>IFERROR(SUM(tblDisplaySheet2[[#This Row],[DB Calls (ms)]:[Latency (ms)]]), "")</f>
        <v>18</v>
      </c>
      <c r="R12" s="8">
        <f>IFERROR(tblDisplaySheet[[#This Row],[Total Process Time]], "")</f>
        <v>18</v>
      </c>
      <c r="S12" s="8">
        <f>IFERROR(tblDisplaySheet[[#This Row],[Total Process Path Length]], "")</f>
        <v>18</v>
      </c>
      <c r="T12" s="8">
        <f>IFERROR(tblDisplaySheet[[#This Row],[Process NFR]], "")</f>
        <v>20</v>
      </c>
      <c r="U12" s="8">
        <f>IFERROR(tblDisplaySheet[[#This Row],[Total Process NFR]], "")</f>
        <v>20</v>
      </c>
      <c r="V12" s="8">
        <f>IFERROR(tblDisplaySheet[[#This Row],[Total Process Path Length NFR]], "")</f>
        <v>20</v>
      </c>
      <c r="W12" s="8">
        <f>IFERROR(tblDisplaySheet[[#This Row],[Difference]], "")</f>
        <v>2</v>
      </c>
      <c r="X12" s="8" t="str">
        <f>IFERROR(tblDisplaySheet[[#This Row],[Status]], "")</f>
        <v>On Target</v>
      </c>
      <c r="Y12" s="24" t="str">
        <f>IFERROR(tblDisplaySheet[[#This Row],[Is Leaf?]], "")</f>
        <v>Y</v>
      </c>
      <c r="Z12" s="24" t="str">
        <f>IFERROR(IF(tblInputSheet[[#This Row],[Owner]] = "", "", tblInputSheet[[#This Row],[Owner]]), "")</f>
        <v>Alak</v>
      </c>
      <c r="AA12" s="24" t="str">
        <f>IFERROR(IF(tblInputSheet[[#This Row],[Notes]] = "", "", tblInputSheet[[#This Row],[Notes]]), "")</f>
        <v/>
      </c>
    </row>
    <row r="13" spans="1:27" hidden="1" x14ac:dyDescent="0.25">
      <c r="A13" s="9">
        <f>IFERROR(IF(tblInputSheet[[#This Row],[Level]] = "", "", tblInputSheet[[#This Row],[Level]]), "")</f>
        <v>7</v>
      </c>
      <c r="B13" s="9">
        <f>IFERROR(IF(tblInputSheet[[#This Row],[Sl.No]] = "", "", tblInputSheet[[#This Row],[Sl.No]]), "")</f>
        <v>11</v>
      </c>
      <c r="C13" s="9" t="str">
        <f>IFERROR(IF(tblInputSheet[[#This Row],[Group]] = "", "", tblInputSheet[[#This Row],[Group]]), "")</f>
        <v>Eligibility</v>
      </c>
      <c r="D13" s="9" t="str">
        <f>IFERROR(IF(tblInputSheet[[#This Row],[Process]] = "", "", REPT("*",Demo!$A13)&amp;""&amp;tblInputSheet[[#This Row],[Process]]), "")</f>
        <v xml:space="preserve">*******New Born Update </v>
      </c>
      <c r="E13" s="9" t="str">
        <f>IFERROR(IF(tblInputSheet[[#This Row],[Hosted Platform]] = "", "", tblInputSheet[[#This Row],[Hosted Platform]]), "")</f>
        <v>PCF</v>
      </c>
      <c r="F13" s="9" t="str">
        <f>IFERROR(IF(tblInputSheet[[#This Row],[Provider]] = "-", "", tblInputSheet[[#This Row],[Provider]]), "")</f>
        <v>Key-Claims Adjudication</v>
      </c>
      <c r="G13" s="9" t="str">
        <f>IFERROR(IF(tblInputSheet[[#This Row],[Consumer]] = "-", "", tblInputSheet[[#This Row],[Consumer]]), "")</f>
        <v>Key-Claims Adjudication</v>
      </c>
      <c r="H13" s="9" t="str">
        <f>IFERROR(IF(tblInputSheet[[#This Row],[Integration Pattern]] = "-", "", tblInputSheet[[#This Row],[Integration Pattern]]), "")</f>
        <v xml:space="preserve">REST Service - MQ </v>
      </c>
      <c r="I13" s="9" t="str">
        <f>IFERROR(IF(tblInputSheet[[#This Row],[Current State]] = "-", "", tblInputSheet[[#This Row],[Current State]]), "")</f>
        <v>Y</v>
      </c>
      <c r="J13" s="9" t="str">
        <f>IFERROR(IF(tblInputSheet[[#This Row],[End State]] = "-", "", tblInputSheet[[#This Row],[End State]]), "")</f>
        <v>N</v>
      </c>
      <c r="K13" s="9" t="str">
        <f>IFERROR(IF(tblInputSheet[[#This Row],[MVP]] = "-", "", tblInputSheet[[#This Row],[MVP]]), "")</f>
        <v>Y</v>
      </c>
      <c r="L13" s="8">
        <f>IFERROR(IF(tblInputSheet[[#This Row],[Count of Invocations]] = "", "", tblInputSheet[[#This Row],[Count of Invocations]]), "")</f>
        <v>0</v>
      </c>
      <c r="M13" s="18">
        <f>IFERROR(IF(tblInputSheet[[#This Row],[DB Calls (ms)]] = "", "", tblInputSheet[[#This Row],[DB Calls (ms)]]), "")</f>
        <v>0</v>
      </c>
      <c r="N13" s="18">
        <f>IFERROR(IF(tblInputSheet[[#This Row],[Logic (ms)]] = "", "", tblInputSheet[[#This Row],[Logic (ms)]]), "")</f>
        <v>24</v>
      </c>
      <c r="O13" s="18">
        <f>IFERROR(IF(tblInputSheet[[#This Row],[Rules (ms)]] = "", "", tblInputSheet[[#This Row],[Rules (ms)]]), "")</f>
        <v>0</v>
      </c>
      <c r="P13" s="18">
        <f>IFERROR(IF(tblInputSheet[[#This Row],[Latency (ms)]] = "", "", tblInputSheet[[#This Row],[Latency (ms)]]), "")</f>
        <v>5</v>
      </c>
      <c r="Q13" s="8">
        <f>IFERROR(SUM(tblDisplaySheet2[[#This Row],[DB Calls (ms)]:[Latency (ms)]]), "")</f>
        <v>29</v>
      </c>
      <c r="R13" s="8">
        <f>IFERROR(tblDisplaySheet[[#This Row],[Total Process Time]], "")</f>
        <v>0</v>
      </c>
      <c r="S13" s="8">
        <f>IFERROR(tblDisplaySheet[[#This Row],[Total Process Path Length]], "")</f>
        <v>0</v>
      </c>
      <c r="T13" s="8">
        <f>IFERROR(tblDisplaySheet[[#This Row],[Process NFR]], "")</f>
        <v>30</v>
      </c>
      <c r="U13" s="8">
        <f>IFERROR(tblDisplaySheet[[#This Row],[Total Process NFR]], "")</f>
        <v>0</v>
      </c>
      <c r="V13" s="8">
        <f>IFERROR(tblDisplaySheet[[#This Row],[Total Process Path Length NFR]], "")</f>
        <v>0</v>
      </c>
      <c r="W13" s="8">
        <f>IFERROR(tblDisplaySheet[[#This Row],[Difference]], "")</f>
        <v>0</v>
      </c>
      <c r="X13" s="8" t="str">
        <f>IFERROR(tblDisplaySheet[[#This Row],[Status]], "")</f>
        <v>On Target</v>
      </c>
      <c r="Y13" s="24" t="str">
        <f>IFERROR(tblDisplaySheet[[#This Row],[Is Leaf?]], "")</f>
        <v>Y</v>
      </c>
      <c r="Z13" s="24" t="str">
        <f>IFERROR(IF(tblInputSheet[[#This Row],[Owner]] = "", "", tblInputSheet[[#This Row],[Owner]]), "")</f>
        <v>Alak</v>
      </c>
      <c r="AA13" s="24" t="str">
        <f>IFERROR(IF(tblInputSheet[[#This Row],[Notes]] = "", "", tblInputSheet[[#This Row],[Notes]]), "")</f>
        <v>Ignoring New Born Case</v>
      </c>
    </row>
    <row r="14" spans="1:27" hidden="1" x14ac:dyDescent="0.25">
      <c r="A14" s="9">
        <f>IFERROR(IF(tblInputSheet[[#This Row],[Level]] = "", "", tblInputSheet[[#This Row],[Level]]), "")</f>
        <v>6</v>
      </c>
      <c r="B14" s="9">
        <f>IFERROR(IF(tblInputSheet[[#This Row],[Sl.No]] = "", "", tblInputSheet[[#This Row],[Sl.No]]), "")</f>
        <v>12</v>
      </c>
      <c r="C14" s="9" t="str">
        <f>IFERROR(IF(tblInputSheet[[#This Row],[Group]] = "", "", tblInputSheet[[#This Row],[Group]]), "")</f>
        <v>Eligibility</v>
      </c>
      <c r="D14" s="9" t="str">
        <f>IFERROR(IF(tblInputSheet[[#This Row],[Process]] = "", "", REPT("*",Demo!$A14)&amp;""&amp;tblInputSheet[[#This Row],[Process]]), "")</f>
        <v>******Provider Match &amp; Eligibility Microservice</v>
      </c>
      <c r="E14" s="9" t="str">
        <f>IFERROR(IF(tblInputSheet[[#This Row],[Hosted Platform]] = "", "", tblInputSheet[[#This Row],[Hosted Platform]]), "")</f>
        <v>PCF</v>
      </c>
      <c r="F14" s="9" t="str">
        <f>IFERROR(IF(tblInputSheet[[#This Row],[Provider]] = "-", "", tblInputSheet[[#This Row],[Provider]]), "")</f>
        <v>Key-Claims Adjudication</v>
      </c>
      <c r="G14" s="9" t="str">
        <f>IFERROR(IF(tblInputSheet[[#This Row],[Consumer]] = "-", "", tblInputSheet[[#This Row],[Consumer]]), "")</f>
        <v>Key-Claims Adjudication</v>
      </c>
      <c r="H14" s="9" t="str">
        <f>IFERROR(IF(tblInputSheet[[#This Row],[Integration Pattern]] = "-", "", tblInputSheet[[#This Row],[Integration Pattern]]), "")</f>
        <v>PCF Internal (C-to-C)</v>
      </c>
      <c r="I14" s="9" t="str">
        <f>IFERROR(IF(tblInputSheet[[#This Row],[Current State]] = "-", "", tblInputSheet[[#This Row],[Current State]]), "")</f>
        <v>Y</v>
      </c>
      <c r="J14" s="9" t="str">
        <f>IFERROR(IF(tblInputSheet[[#This Row],[End State]] = "-", "", tblInputSheet[[#This Row],[End State]]), "")</f>
        <v>Y</v>
      </c>
      <c r="K14" s="9" t="str">
        <f>IFERROR(IF(tblInputSheet[[#This Row],[MVP]] = "-", "", tblInputSheet[[#This Row],[MVP]]), "")</f>
        <v>Y</v>
      </c>
      <c r="L14" s="8">
        <f>IFERROR(IF(tblInputSheet[[#This Row],[Count of Invocations]] = "", "", tblInputSheet[[#This Row],[Count of Invocations]]), "")</f>
        <v>1</v>
      </c>
      <c r="M14" s="18">
        <f>IFERROR(IF(tblInputSheet[[#This Row],[DB Calls (ms)]] = "", "", tblInputSheet[[#This Row],[DB Calls (ms)]]), "")</f>
        <v>0</v>
      </c>
      <c r="N14" s="18">
        <f>IFERROR(IF(tblInputSheet[[#This Row],[Logic (ms)]] = "", "", tblInputSheet[[#This Row],[Logic (ms)]]), "")</f>
        <v>5</v>
      </c>
      <c r="O14" s="18">
        <f>IFERROR(IF(tblInputSheet[[#This Row],[Rules (ms)]] = "", "", tblInputSheet[[#This Row],[Rules (ms)]]), "")</f>
        <v>0</v>
      </c>
      <c r="P14" s="18">
        <f>IFERROR(IF(tblInputSheet[[#This Row],[Latency (ms)]] = "", "", tblInputSheet[[#This Row],[Latency (ms)]]), "")</f>
        <v>5</v>
      </c>
      <c r="Q14" s="8">
        <f>IFERROR(SUM(tblDisplaySheet2[[#This Row],[DB Calls (ms)]:[Latency (ms)]]), "")</f>
        <v>10</v>
      </c>
      <c r="R14" s="8">
        <f>IFERROR(tblDisplaySheet[[#This Row],[Total Process Time]], "")</f>
        <v>10</v>
      </c>
      <c r="S14" s="8">
        <f>IFERROR(tblDisplaySheet[[#This Row],[Total Process Path Length]], "")</f>
        <v>27</v>
      </c>
      <c r="T14" s="8">
        <f>IFERROR(tblDisplaySheet[[#This Row],[Process NFR]], "")</f>
        <v>15</v>
      </c>
      <c r="U14" s="8">
        <f>IFERROR(tblDisplaySheet[[#This Row],[Total Process NFR]], "")</f>
        <v>15</v>
      </c>
      <c r="V14" s="8">
        <f>IFERROR(tblDisplaySheet[[#This Row],[Total Process Path Length NFR]], "")</f>
        <v>40</v>
      </c>
      <c r="W14" s="8">
        <f>IFERROR(tblDisplaySheet[[#This Row],[Difference]], "")</f>
        <v>13</v>
      </c>
      <c r="X14" s="8" t="str">
        <f>IFERROR(tblDisplaySheet[[#This Row],[Status]], "")</f>
        <v>On Target</v>
      </c>
      <c r="Y14" s="24" t="str">
        <f>IFERROR(tblDisplaySheet[[#This Row],[Is Leaf?]], "")</f>
        <v>N</v>
      </c>
      <c r="Z14" s="24" t="str">
        <f>IFERROR(IF(tblInputSheet[[#This Row],[Owner]] = "", "", tblInputSheet[[#This Row],[Owner]]), "")</f>
        <v>Alak</v>
      </c>
      <c r="AA14" s="24" t="str">
        <f>IFERROR(IF(tblInputSheet[[#This Row],[Notes]] = "", "", tblInputSheet[[#This Row],[Notes]]), "")</f>
        <v/>
      </c>
    </row>
    <row r="15" spans="1:27" hidden="1" x14ac:dyDescent="0.25">
      <c r="A15" s="9">
        <f>IFERROR(IF(tblInputSheet[[#This Row],[Level]] = "", "", tblInputSheet[[#This Row],[Level]]), "")</f>
        <v>7</v>
      </c>
      <c r="B15" s="9">
        <f>IFERROR(IF(tblInputSheet[[#This Row],[Sl.No]] = "", "", tblInputSheet[[#This Row],[Sl.No]]), "")</f>
        <v>13</v>
      </c>
      <c r="C15" s="9" t="str">
        <f>IFERROR(IF(tblInputSheet[[#This Row],[Group]] = "", "", tblInputSheet[[#This Row],[Group]]), "")</f>
        <v>Eligibility</v>
      </c>
      <c r="D15" s="9" t="str">
        <f>IFERROR(IF(tblInputSheet[[#This Row],[Process]] = "", "", REPT("*",Demo!$A15)&amp;""&amp;tblInputSheet[[#This Row],[Process]]), "")</f>
        <v>*******Claim Provider Microservice</v>
      </c>
      <c r="E15" s="9" t="str">
        <f>IFERROR(IF(tblInputSheet[[#This Row],[Hosted Platform]] = "", "", tblInputSheet[[#This Row],[Hosted Platform]]), "")</f>
        <v>PCF</v>
      </c>
      <c r="F15" s="9" t="str">
        <f>IFERROR(IF(tblInputSheet[[#This Row],[Provider]] = "-", "", tblInputSheet[[#This Row],[Provider]]), "")</f>
        <v>Key-Claims Adjudication</v>
      </c>
      <c r="G15" s="9" t="str">
        <f>IFERROR(IF(tblInputSheet[[#This Row],[Consumer]] = "-", "", tblInputSheet[[#This Row],[Consumer]]), "")</f>
        <v>Key-Claims Adjudication</v>
      </c>
      <c r="H15" s="9" t="str">
        <f>IFERROR(IF(tblInputSheet[[#This Row],[Integration Pattern]] = "-", "", tblInputSheet[[#This Row],[Integration Pattern]]), "")</f>
        <v>PCF Internal (C-to-C)</v>
      </c>
      <c r="I15" s="9" t="str">
        <f>IFERROR(IF(tblInputSheet[[#This Row],[Current State]] = "-", "", tblInputSheet[[#This Row],[Current State]]), "")</f>
        <v>Y</v>
      </c>
      <c r="J15" s="9" t="str">
        <f>IFERROR(IF(tblInputSheet[[#This Row],[End State]] = "-", "", tblInputSheet[[#This Row],[End State]]), "")</f>
        <v>Y</v>
      </c>
      <c r="K15" s="9" t="str">
        <f>IFERROR(IF(tblInputSheet[[#This Row],[MVP]] = "-", "", tblInputSheet[[#This Row],[MVP]]), "")</f>
        <v>Y</v>
      </c>
      <c r="L15" s="8">
        <f>IFERROR(IF(tblInputSheet[[#This Row],[Count of Invocations]] = "", "", tblInputSheet[[#This Row],[Count of Invocations]]), "")</f>
        <v>1</v>
      </c>
      <c r="M15" s="18">
        <f>IFERROR(IF(tblInputSheet[[#This Row],[DB Calls (ms)]] = "", "", tblInputSheet[[#This Row],[DB Calls (ms)]]), "")</f>
        <v>1</v>
      </c>
      <c r="N15" s="18">
        <f>IFERROR(IF(tblInputSheet[[#This Row],[Logic (ms)]] = "", "", tblInputSheet[[#This Row],[Logic (ms)]]), "")</f>
        <v>4</v>
      </c>
      <c r="O15" s="18">
        <f>IFERROR(IF(tblInputSheet[[#This Row],[Rules (ms)]] = "", "", tblInputSheet[[#This Row],[Rules (ms)]]), "")</f>
        <v>0</v>
      </c>
      <c r="P15" s="18">
        <f>IFERROR(IF(tblInputSheet[[#This Row],[Latency (ms)]] = "", "", tblInputSheet[[#This Row],[Latency (ms)]]), "")</f>
        <v>5</v>
      </c>
      <c r="Q15" s="8">
        <f>IFERROR(SUM(tblDisplaySheet2[[#This Row],[DB Calls (ms)]:[Latency (ms)]]), "")</f>
        <v>10</v>
      </c>
      <c r="R15" s="8">
        <f>IFERROR(tblDisplaySheet[[#This Row],[Total Process Time]], "")</f>
        <v>10</v>
      </c>
      <c r="S15" s="8">
        <f>IFERROR(tblDisplaySheet[[#This Row],[Total Process Path Length]], "")</f>
        <v>10</v>
      </c>
      <c r="T15" s="8">
        <f>IFERROR(tblDisplaySheet[[#This Row],[Process NFR]], "")</f>
        <v>15</v>
      </c>
      <c r="U15" s="8">
        <f>IFERROR(tblDisplaySheet[[#This Row],[Total Process NFR]], "")</f>
        <v>15</v>
      </c>
      <c r="V15" s="8">
        <f>IFERROR(tblDisplaySheet[[#This Row],[Total Process Path Length NFR]], "")</f>
        <v>15</v>
      </c>
      <c r="W15" s="8">
        <f>IFERROR(tblDisplaySheet[[#This Row],[Difference]], "")</f>
        <v>5</v>
      </c>
      <c r="X15" s="8" t="str">
        <f>IFERROR(tblDisplaySheet[[#This Row],[Status]], "")</f>
        <v>On Target</v>
      </c>
      <c r="Y15" s="24" t="str">
        <f>IFERROR(tblDisplaySheet[[#This Row],[Is Leaf?]], "")</f>
        <v>Y</v>
      </c>
      <c r="Z15" s="24" t="str">
        <f>IFERROR(IF(tblInputSheet[[#This Row],[Owner]] = "", "", tblInputSheet[[#This Row],[Owner]]), "")</f>
        <v>Alak</v>
      </c>
      <c r="AA15" s="24" t="str">
        <f>IFERROR(IF(tblInputSheet[[#This Row],[Notes]] = "", "", tblInputSheet[[#This Row],[Notes]]), "")</f>
        <v/>
      </c>
    </row>
    <row r="16" spans="1:27" hidden="1" x14ac:dyDescent="0.25">
      <c r="A16" s="9">
        <f>IFERROR(IF(tblInputSheet[[#This Row],[Level]] = "", "", tblInputSheet[[#This Row],[Level]]), "")</f>
        <v>7</v>
      </c>
      <c r="B16" s="9">
        <f>IFERROR(IF(tblInputSheet[[#This Row],[Sl.No]] = "", "", tblInputSheet[[#This Row],[Sl.No]]), "")</f>
        <v>14</v>
      </c>
      <c r="C16" s="9" t="str">
        <f>IFERROR(IF(tblInputSheet[[#This Row],[Group]] = "", "", tblInputSheet[[#This Row],[Group]]), "")</f>
        <v>Eligibility</v>
      </c>
      <c r="D16" s="9" t="str">
        <f>IFERROR(IF(tblInputSheet[[#This Row],[Process]] = "", "", REPT("*",Demo!$A16)&amp;""&amp;tblInputSheet[[#This Row],[Process]]), "")</f>
        <v>*******Reference Lookup Microservice</v>
      </c>
      <c r="E16" s="9" t="str">
        <f>IFERROR(IF(tblInputSheet[[#This Row],[Hosted Platform]] = "", "", tblInputSheet[[#This Row],[Hosted Platform]]), "")</f>
        <v>PCF</v>
      </c>
      <c r="F16" s="9" t="str">
        <f>IFERROR(IF(tblInputSheet[[#This Row],[Provider]] = "-", "", tblInputSheet[[#This Row],[Provider]]), "")</f>
        <v>Key-Claims Adjudication</v>
      </c>
      <c r="G16" s="9" t="str">
        <f>IFERROR(IF(tblInputSheet[[#This Row],[Consumer]] = "-", "", tblInputSheet[[#This Row],[Consumer]]), "")</f>
        <v>Key-Claims Adjudication</v>
      </c>
      <c r="H16" s="9" t="str">
        <f>IFERROR(IF(tblInputSheet[[#This Row],[Integration Pattern]] = "-", "", tblInputSheet[[#This Row],[Integration Pattern]]), "")</f>
        <v>PCF Internal (C-to-C)</v>
      </c>
      <c r="I16" s="9" t="str">
        <f>IFERROR(IF(tblInputSheet[[#This Row],[Current State]] = "-", "", tblInputSheet[[#This Row],[Current State]]), "")</f>
        <v>Y</v>
      </c>
      <c r="J16" s="9" t="str">
        <f>IFERROR(IF(tblInputSheet[[#This Row],[End State]] = "-", "", tblInputSheet[[#This Row],[End State]]), "")</f>
        <v>Y</v>
      </c>
      <c r="K16" s="9" t="str">
        <f>IFERROR(IF(tblInputSheet[[#This Row],[MVP]] = "-", "", tblInputSheet[[#This Row],[MVP]]), "")</f>
        <v>Y</v>
      </c>
      <c r="L16" s="8">
        <f>IFERROR(IF(tblInputSheet[[#This Row],[Count of Invocations]] = "", "", tblInputSheet[[#This Row],[Count of Invocations]]), "")</f>
        <v>1</v>
      </c>
      <c r="M16" s="18">
        <f>IFERROR(IF(tblInputSheet[[#This Row],[DB Calls (ms)]] = "", "", tblInputSheet[[#This Row],[DB Calls (ms)]]), "")</f>
        <v>1</v>
      </c>
      <c r="N16" s="18">
        <f>IFERROR(IF(tblInputSheet[[#This Row],[Logic (ms)]] = "", "", tblInputSheet[[#This Row],[Logic (ms)]]), "")</f>
        <v>1</v>
      </c>
      <c r="O16" s="18">
        <f>IFERROR(IF(tblInputSheet[[#This Row],[Rules (ms)]] = "", "", tblInputSheet[[#This Row],[Rules (ms)]]), "")</f>
        <v>0</v>
      </c>
      <c r="P16" s="18">
        <f>IFERROR(IF(tblInputSheet[[#This Row],[Latency (ms)]] = "", "", tblInputSheet[[#This Row],[Latency (ms)]]), "")</f>
        <v>5</v>
      </c>
      <c r="Q16" s="8">
        <f>IFERROR(SUM(tblDisplaySheet2[[#This Row],[DB Calls (ms)]:[Latency (ms)]]), "")</f>
        <v>7</v>
      </c>
      <c r="R16" s="8">
        <f>IFERROR(tblDisplaySheet[[#This Row],[Total Process Time]], "")</f>
        <v>7</v>
      </c>
      <c r="S16" s="8">
        <f>IFERROR(tblDisplaySheet[[#This Row],[Total Process Path Length]], "")</f>
        <v>7</v>
      </c>
      <c r="T16" s="8">
        <f>IFERROR(tblDisplaySheet[[#This Row],[Process NFR]], "")</f>
        <v>10</v>
      </c>
      <c r="U16" s="8">
        <f>IFERROR(tblDisplaySheet[[#This Row],[Total Process NFR]], "")</f>
        <v>10</v>
      </c>
      <c r="V16" s="8">
        <f>IFERROR(tblDisplaySheet[[#This Row],[Total Process Path Length NFR]], "")</f>
        <v>10</v>
      </c>
      <c r="W16" s="8">
        <f>IFERROR(tblDisplaySheet[[#This Row],[Difference]], "")</f>
        <v>3</v>
      </c>
      <c r="X16" s="8" t="str">
        <f>IFERROR(tblDisplaySheet[[#This Row],[Status]], "")</f>
        <v>On Target</v>
      </c>
      <c r="Y16" s="24" t="str">
        <f>IFERROR(tblDisplaySheet[[#This Row],[Is Leaf?]], "")</f>
        <v>Y</v>
      </c>
      <c r="Z16" s="24" t="str">
        <f>IFERROR(IF(tblInputSheet[[#This Row],[Owner]] = "", "", tblInputSheet[[#This Row],[Owner]]), "")</f>
        <v>Alak</v>
      </c>
      <c r="AA16" s="24" t="str">
        <f>IFERROR(IF(tblInputSheet[[#This Row],[Notes]] = "", "", tblInputSheet[[#This Row],[Notes]]), "")</f>
        <v/>
      </c>
    </row>
    <row r="17" spans="1:27" hidden="1" x14ac:dyDescent="0.25">
      <c r="A17" s="9">
        <f>IFERROR(IF(tblInputSheet[[#This Row],[Level]] = "", "", tblInputSheet[[#This Row],[Level]]), "")</f>
        <v>6</v>
      </c>
      <c r="B17" s="9">
        <f>IFERROR(IF(tblInputSheet[[#This Row],[Sl.No]] = "", "", tblInputSheet[[#This Row],[Sl.No]]), "")</f>
        <v>15</v>
      </c>
      <c r="C17" s="9" t="str">
        <f>IFERROR(IF(tblInputSheet[[#This Row],[Group]] = "", "", tblInputSheet[[#This Row],[Group]]), "")</f>
        <v>Eligibility</v>
      </c>
      <c r="D17" s="9" t="str">
        <f>IFERROR(IF(tblInputSheet[[#This Row],[Process]] = "", "", REPT("*",Demo!$A17)&amp;""&amp;tblInputSheet[[#This Row],[Process]]), "")</f>
        <v>******Eligibility Lock Microservice</v>
      </c>
      <c r="E17" s="9" t="str">
        <f>IFERROR(IF(tblInputSheet[[#This Row],[Hosted Platform]] = "", "", tblInputSheet[[#This Row],[Hosted Platform]]), "")</f>
        <v>PCF</v>
      </c>
      <c r="F17" s="9" t="str">
        <f>IFERROR(IF(tblInputSheet[[#This Row],[Provider]] = "-", "", tblInputSheet[[#This Row],[Provider]]), "")</f>
        <v>Key-Claims Adjudication</v>
      </c>
      <c r="G17" s="9" t="str">
        <f>IFERROR(IF(tblInputSheet[[#This Row],[Consumer]] = "-", "", tblInputSheet[[#This Row],[Consumer]]), "")</f>
        <v>Key-Claims Adjudication</v>
      </c>
      <c r="H17" s="9" t="str">
        <f>IFERROR(IF(tblInputSheet[[#This Row],[Integration Pattern]] = "-", "", tblInputSheet[[#This Row],[Integration Pattern]]), "")</f>
        <v>PCF Internal (C-to-C)</v>
      </c>
      <c r="I17" s="9" t="str">
        <f>IFERROR(IF(tblInputSheet[[#This Row],[Current State]] = "-", "", tblInputSheet[[#This Row],[Current State]]), "")</f>
        <v>Y</v>
      </c>
      <c r="J17" s="9" t="str">
        <f>IFERROR(IF(tblInputSheet[[#This Row],[End State]] = "-", "", tblInputSheet[[#This Row],[End State]]), "")</f>
        <v>Y</v>
      </c>
      <c r="K17" s="9" t="str">
        <f>IFERROR(IF(tblInputSheet[[#This Row],[MVP]] = "-", "", tblInputSheet[[#This Row],[MVP]]), "")</f>
        <v>Y</v>
      </c>
      <c r="L17" s="8">
        <f>IFERROR(IF(tblInputSheet[[#This Row],[Count of Invocations]] = "", "", tblInputSheet[[#This Row],[Count of Invocations]]), "")</f>
        <v>1</v>
      </c>
      <c r="M17" s="18">
        <f>IFERROR(IF(tblInputSheet[[#This Row],[DB Calls (ms)]] = "", "", tblInputSheet[[#This Row],[DB Calls (ms)]]), "")</f>
        <v>1</v>
      </c>
      <c r="N17" s="18">
        <f>IFERROR(IF(tblInputSheet[[#This Row],[Logic (ms)]] = "", "", tblInputSheet[[#This Row],[Logic (ms)]]), "")</f>
        <v>24</v>
      </c>
      <c r="O17" s="18">
        <f>IFERROR(IF(tblInputSheet[[#This Row],[Rules (ms)]] = "", "", tblInputSheet[[#This Row],[Rules (ms)]]), "")</f>
        <v>0</v>
      </c>
      <c r="P17" s="18">
        <f>IFERROR(IF(tblInputSheet[[#This Row],[Latency (ms)]] = "", "", tblInputSheet[[#This Row],[Latency (ms)]]), "")</f>
        <v>5</v>
      </c>
      <c r="Q17" s="8">
        <f>IFERROR(SUM(tblDisplaySheet2[[#This Row],[DB Calls (ms)]:[Latency (ms)]]), "")</f>
        <v>30</v>
      </c>
      <c r="R17" s="8">
        <f>IFERROR(tblDisplaySheet[[#This Row],[Total Process Time]], "")</f>
        <v>30</v>
      </c>
      <c r="S17" s="8">
        <f>IFERROR(tblDisplaySheet[[#This Row],[Total Process Path Length]], "")</f>
        <v>30</v>
      </c>
      <c r="T17" s="8">
        <f>IFERROR(tblDisplaySheet[[#This Row],[Process NFR]], "")</f>
        <v>35</v>
      </c>
      <c r="U17" s="8">
        <f>IFERROR(tblDisplaySheet[[#This Row],[Total Process NFR]], "")</f>
        <v>35</v>
      </c>
      <c r="V17" s="8">
        <f>IFERROR(tblDisplaySheet[[#This Row],[Total Process Path Length NFR]], "")</f>
        <v>35</v>
      </c>
      <c r="W17" s="8">
        <f>IFERROR(tblDisplaySheet[[#This Row],[Difference]], "")</f>
        <v>5</v>
      </c>
      <c r="X17" s="8" t="str">
        <f>IFERROR(tblDisplaySheet[[#This Row],[Status]], "")</f>
        <v>On Target</v>
      </c>
      <c r="Y17" s="24" t="str">
        <f>IFERROR(tblDisplaySheet[[#This Row],[Is Leaf?]], "")</f>
        <v>Y</v>
      </c>
      <c r="Z17" s="24" t="str">
        <f>IFERROR(IF(tblInputSheet[[#This Row],[Owner]] = "", "", tblInputSheet[[#This Row],[Owner]]), "")</f>
        <v>Alak</v>
      </c>
      <c r="AA17" s="24" t="str">
        <f>IFERROR(IF(tblInputSheet[[#This Row],[Notes]] = "", "", tblInputSheet[[#This Row],[Notes]]), "")</f>
        <v/>
      </c>
    </row>
    <row r="18" spans="1:27" x14ac:dyDescent="0.25">
      <c r="A18" s="9">
        <f>IFERROR(IF(tblInputSheet[[#This Row],[Level]] = "", "", tblInputSheet[[#This Row],[Level]]), "")</f>
        <v>2</v>
      </c>
      <c r="B18" s="9">
        <f>IFERROR(IF(tblInputSheet[[#This Row],[Sl.No]] = "", "", tblInputSheet[[#This Row],[Sl.No]]), "")</f>
        <v>16</v>
      </c>
      <c r="C18" s="9" t="str">
        <f>IFERROR(IF(tblInputSheet[[#This Row],[Group]] = "", "", tblInputSheet[[#This Row],[Group]]), "")</f>
        <v>Claim Level</v>
      </c>
      <c r="D18" s="9" t="str">
        <f>IFERROR(IF(tblInputSheet[[#This Row],[Process]] = "", "", REPT("*",Demo!$A18)&amp;""&amp;tblInputSheet[[#This Row],[Process]]), "")</f>
        <v>**Claim Level</v>
      </c>
      <c r="E18" s="9" t="str">
        <f>IFERROR(IF(tblInputSheet[[#This Row],[Hosted Platform]] = "", "", tblInputSheet[[#This Row],[Hosted Platform]]), "")</f>
        <v>Business Process</v>
      </c>
      <c r="F18" s="9" t="str">
        <f>IFERROR(IF(tblInputSheet[[#This Row],[Provider]] = "-", "", tblInputSheet[[#This Row],[Provider]]), "")</f>
        <v>NA</v>
      </c>
      <c r="G18" s="9" t="str">
        <f>IFERROR(IF(tblInputSheet[[#This Row],[Consumer]] = "-", "", tblInputSheet[[#This Row],[Consumer]]), "")</f>
        <v>NA</v>
      </c>
      <c r="H18" s="9" t="str">
        <f>IFERROR(IF(tblInputSheet[[#This Row],[Integration Pattern]] = "-", "", tblInputSheet[[#This Row],[Integration Pattern]]), "")</f>
        <v>Group</v>
      </c>
      <c r="I18" s="9" t="str">
        <f>IFERROR(IF(tblInputSheet[[#This Row],[Current State]] = "-", "", tblInputSheet[[#This Row],[Current State]]), "")</f>
        <v>Y</v>
      </c>
      <c r="J18" s="9" t="str">
        <f>IFERROR(IF(tblInputSheet[[#This Row],[End State]] = "-", "", tblInputSheet[[#This Row],[End State]]), "")</f>
        <v>Y</v>
      </c>
      <c r="K18" s="9" t="str">
        <f>IFERROR(IF(tblInputSheet[[#This Row],[MVP]] = "-", "", tblInputSheet[[#This Row],[MVP]]), "")</f>
        <v>Y</v>
      </c>
      <c r="L18" s="8">
        <f>IFERROR(IF(tblInputSheet[[#This Row],[Count of Invocations]] = "", "", tblInputSheet[[#This Row],[Count of Invocations]]), "")</f>
        <v>0</v>
      </c>
      <c r="M18" s="18">
        <f>IFERROR(IF(tblInputSheet[[#This Row],[DB Calls (ms)]] = "", "", tblInputSheet[[#This Row],[DB Calls (ms)]]), "")</f>
        <v>0</v>
      </c>
      <c r="N18" s="18">
        <f>IFERROR(IF(tblInputSheet[[#This Row],[Logic (ms)]] = "", "", tblInputSheet[[#This Row],[Logic (ms)]]), "")</f>
        <v>0</v>
      </c>
      <c r="O18" s="18">
        <f>IFERROR(IF(tblInputSheet[[#This Row],[Rules (ms)]] = "", "", tblInputSheet[[#This Row],[Rules (ms)]]), "")</f>
        <v>0</v>
      </c>
      <c r="P18" s="18">
        <f>IFERROR(IF(tblInputSheet[[#This Row],[Latency (ms)]] = "", "", tblInputSheet[[#This Row],[Latency (ms)]]), "")</f>
        <v>0</v>
      </c>
      <c r="Q18" s="8">
        <f>IFERROR(SUM(tblDisplaySheet2[[#This Row],[DB Calls (ms)]:[Latency (ms)]]), "")</f>
        <v>0</v>
      </c>
      <c r="R18" s="8">
        <f>IFERROR(tblDisplaySheet[[#This Row],[Total Process Time]], "")</f>
        <v>0</v>
      </c>
      <c r="S18" s="8">
        <f>IFERROR(tblDisplaySheet[[#This Row],[Total Process Path Length]], "")</f>
        <v>42</v>
      </c>
      <c r="T18" s="8">
        <f>IFERROR(tblDisplaySheet[[#This Row],[Process NFR]], "")</f>
        <v>0</v>
      </c>
      <c r="U18" s="8">
        <f>IFERROR(tblDisplaySheet[[#This Row],[Total Process NFR]], "")</f>
        <v>0</v>
      </c>
      <c r="V18" s="8">
        <f>IFERROR(tblDisplaySheet[[#This Row],[Total Process Path Length NFR]], "")</f>
        <v>45</v>
      </c>
      <c r="W18" s="8">
        <f>IFERROR(tblDisplaySheet[[#This Row],[Difference]], "")</f>
        <v>3</v>
      </c>
      <c r="X18" s="8" t="str">
        <f>IFERROR(tblDisplaySheet[[#This Row],[Status]], "")</f>
        <v>On Target</v>
      </c>
      <c r="Y18" s="24" t="str">
        <f>IFERROR(tblDisplaySheet[[#This Row],[Is Leaf?]], "")</f>
        <v>G</v>
      </c>
      <c r="Z18" s="24" t="str">
        <f>IFERROR(IF(tblInputSheet[[#This Row],[Owner]] = "", "", tblInputSheet[[#This Row],[Owner]]), "")</f>
        <v>Alak</v>
      </c>
      <c r="AA18" s="24" t="str">
        <f>IFERROR(IF(tblInputSheet[[#This Row],[Notes]] = "", "", tblInputSheet[[#This Row],[Notes]]), "")</f>
        <v/>
      </c>
    </row>
    <row r="19" spans="1:27" x14ac:dyDescent="0.25">
      <c r="A19" s="9">
        <f>IFERROR(IF(tblInputSheet[[#This Row],[Level]] = "", "", tblInputSheet[[#This Row],[Level]]), "")</f>
        <v>3</v>
      </c>
      <c r="B19" s="9">
        <f>IFERROR(IF(tblInputSheet[[#This Row],[Sl.No]] = "", "", tblInputSheet[[#This Row],[Sl.No]]), "")</f>
        <v>17</v>
      </c>
      <c r="C19" s="9" t="str">
        <f>IFERROR(IF(tblInputSheet[[#This Row],[Group]] = "", "", tblInputSheet[[#This Row],[Group]]), "")</f>
        <v>Claim Mainline</v>
      </c>
      <c r="D19" s="9" t="str">
        <f>IFERROR(IF(tblInputSheet[[#This Row],[Process]] = "", "", REPT("*",Demo!$A19)&amp;""&amp;tblInputSheet[[#This Row],[Process]]), "")</f>
        <v>***Claim Mainline</v>
      </c>
      <c r="E19" s="9" t="str">
        <f>IFERROR(IF(tblInputSheet[[#This Row],[Hosted Platform]] = "", "", tblInputSheet[[#This Row],[Hosted Platform]]), "")</f>
        <v>Legacy BC</v>
      </c>
      <c r="F19" s="9" t="str">
        <f>IFERROR(IF(tblInputSheet[[#This Row],[Provider]] = "-", "", tblInputSheet[[#This Row],[Provider]]), "")</f>
        <v>Claims-Legacy</v>
      </c>
      <c r="G19" s="9" t="str">
        <f>IFERROR(IF(tblInputSheet[[#This Row],[Consumer]] = "-", "", tblInputSheet[[#This Row],[Consumer]]), "")</f>
        <v>Claims-Legacy</v>
      </c>
      <c r="H19" s="9" t="str">
        <f>IFERROR(IF(tblInputSheet[[#This Row],[Integration Pattern]] = "-", "", tblInputSheet[[#This Row],[Integration Pattern]]), "")</f>
        <v>BC Internal</v>
      </c>
      <c r="I19" s="9" t="str">
        <f>IFERROR(IF(tblInputSheet[[#This Row],[Current State]] = "-", "", tblInputSheet[[#This Row],[Current State]]), "")</f>
        <v>Y</v>
      </c>
      <c r="J19" s="9" t="str">
        <f>IFERROR(IF(tblInputSheet[[#This Row],[End State]] = "-", "", tblInputSheet[[#This Row],[End State]]), "")</f>
        <v>Y</v>
      </c>
      <c r="K19" s="9" t="str">
        <f>IFERROR(IF(tblInputSheet[[#This Row],[MVP]] = "-", "", tblInputSheet[[#This Row],[MVP]]), "")</f>
        <v>Y</v>
      </c>
      <c r="L19" s="8">
        <f>IFERROR(IF(tblInputSheet[[#This Row],[Count of Invocations]] = "", "", tblInputSheet[[#This Row],[Count of Invocations]]), "")</f>
        <v>1</v>
      </c>
      <c r="M19" s="18">
        <f>IFERROR(IF(tblInputSheet[[#This Row],[DB Calls (ms)]] = "", "", tblInputSheet[[#This Row],[DB Calls (ms)]]), "")</f>
        <v>0</v>
      </c>
      <c r="N19" s="18">
        <f>IFERROR(IF(tblInputSheet[[#This Row],[Logic (ms)]] = "", "", tblInputSheet[[#This Row],[Logic (ms)]]), "")</f>
        <v>42</v>
      </c>
      <c r="O19" s="18">
        <f>IFERROR(IF(tblInputSheet[[#This Row],[Rules (ms)]] = "", "", tblInputSheet[[#This Row],[Rules (ms)]]), "")</f>
        <v>0</v>
      </c>
      <c r="P19" s="18">
        <f>IFERROR(IF(tblInputSheet[[#This Row],[Latency (ms)]] = "", "", tblInputSheet[[#This Row],[Latency (ms)]]), "")</f>
        <v>0</v>
      </c>
      <c r="Q19" s="8">
        <f>IFERROR(SUM(tblDisplaySheet2[[#This Row],[DB Calls (ms)]:[Latency (ms)]]), "")</f>
        <v>42</v>
      </c>
      <c r="R19" s="8">
        <f>IFERROR(tblDisplaySheet[[#This Row],[Total Process Time]], "")</f>
        <v>42</v>
      </c>
      <c r="S19" s="8">
        <f>IFERROR(tblDisplaySheet[[#This Row],[Total Process Path Length]], "")</f>
        <v>42</v>
      </c>
      <c r="T19" s="8">
        <f>IFERROR(tblDisplaySheet[[#This Row],[Process NFR]], "")</f>
        <v>45</v>
      </c>
      <c r="U19" s="8">
        <f>IFERROR(tblDisplaySheet[[#This Row],[Total Process NFR]], "")</f>
        <v>45</v>
      </c>
      <c r="V19" s="8">
        <f>IFERROR(tblDisplaySheet[[#This Row],[Total Process Path Length NFR]], "")</f>
        <v>45</v>
      </c>
      <c r="W19" s="8">
        <f>IFERROR(tblDisplaySheet[[#This Row],[Difference]], "")</f>
        <v>3</v>
      </c>
      <c r="X19" s="8" t="str">
        <f>IFERROR(tblDisplaySheet[[#This Row],[Status]], "")</f>
        <v>On Target</v>
      </c>
      <c r="Y19" s="24" t="str">
        <f>IFERROR(tblDisplaySheet[[#This Row],[Is Leaf?]], "")</f>
        <v>Y</v>
      </c>
      <c r="Z19" s="24" t="str">
        <f>IFERROR(IF(tblInputSheet[[#This Row],[Owner]] = "", "", tblInputSheet[[#This Row],[Owner]]), "")</f>
        <v>Alak</v>
      </c>
      <c r="AA19" s="24" t="str">
        <f>IFERROR(IF(tblInputSheet[[#This Row],[Notes]] = "", "", tblInputSheet[[#This Row],[Notes]]), "")</f>
        <v/>
      </c>
    </row>
    <row r="20" spans="1:27" x14ac:dyDescent="0.25">
      <c r="A20" s="9">
        <f>IFERROR(IF(tblInputSheet[[#This Row],[Level]] = "", "", tblInputSheet[[#This Row],[Level]]), "")</f>
        <v>2</v>
      </c>
      <c r="B20" s="9">
        <f>IFERROR(IF(tblInputSheet[[#This Row],[Sl.No]] = "", "", tblInputSheet[[#This Row],[Sl.No]]), "")</f>
        <v>18</v>
      </c>
      <c r="C20" s="9" t="str">
        <f>IFERROR(IF(tblInputSheet[[#This Row],[Group]] = "", "", tblInputSheet[[#This Row],[Group]]), "")</f>
        <v>Service Level</v>
      </c>
      <c r="D20" s="9" t="str">
        <f>IFERROR(IF(tblInputSheet[[#This Row],[Process]] = "", "", REPT("*",Demo!$A20)&amp;""&amp;tblInputSheet[[#This Row],[Process]]), "")</f>
        <v>**Service Level</v>
      </c>
      <c r="E20" s="9" t="str">
        <f>IFERROR(IF(tblInputSheet[[#This Row],[Hosted Platform]] = "", "", tblInputSheet[[#This Row],[Hosted Platform]]), "")</f>
        <v>Business Process</v>
      </c>
      <c r="F20" s="9" t="str">
        <f>IFERROR(IF(tblInputSheet[[#This Row],[Provider]] = "-", "", tblInputSheet[[#This Row],[Provider]]), "")</f>
        <v>NA</v>
      </c>
      <c r="G20" s="9" t="str">
        <f>IFERROR(IF(tblInputSheet[[#This Row],[Consumer]] = "-", "", tblInputSheet[[#This Row],[Consumer]]), "")</f>
        <v>NA</v>
      </c>
      <c r="H20" s="9" t="str">
        <f>IFERROR(IF(tblInputSheet[[#This Row],[Integration Pattern]] = "-", "", tblInputSheet[[#This Row],[Integration Pattern]]), "")</f>
        <v>Group</v>
      </c>
      <c r="I20" s="9" t="str">
        <f>IFERROR(IF(tblInputSheet[[#This Row],[Current State]] = "-", "", tblInputSheet[[#This Row],[Current State]]), "")</f>
        <v>Y</v>
      </c>
      <c r="J20" s="9" t="str">
        <f>IFERROR(IF(tblInputSheet[[#This Row],[End State]] = "-", "", tblInputSheet[[#This Row],[End State]]), "")</f>
        <v>Y</v>
      </c>
      <c r="K20" s="9" t="str">
        <f>IFERROR(IF(tblInputSheet[[#This Row],[MVP]] = "-", "", tblInputSheet[[#This Row],[MVP]]), "")</f>
        <v>Y</v>
      </c>
      <c r="L20" s="8">
        <f>IFERROR(IF(tblInputSheet[[#This Row],[Count of Invocations]] = "", "", tblInputSheet[[#This Row],[Count of Invocations]]), "")</f>
        <v>0</v>
      </c>
      <c r="M20" s="18">
        <f>IFERROR(IF(tblInputSheet[[#This Row],[DB Calls (ms)]] = "", "", tblInputSheet[[#This Row],[DB Calls (ms)]]), "")</f>
        <v>0</v>
      </c>
      <c r="N20" s="18">
        <f>IFERROR(IF(tblInputSheet[[#This Row],[Logic (ms)]] = "", "", tblInputSheet[[#This Row],[Logic (ms)]]), "")</f>
        <v>0</v>
      </c>
      <c r="O20" s="18">
        <f>IFERROR(IF(tblInputSheet[[#This Row],[Rules (ms)]] = "", "", tblInputSheet[[#This Row],[Rules (ms)]]), "")</f>
        <v>0</v>
      </c>
      <c r="P20" s="18">
        <f>IFERROR(IF(tblInputSheet[[#This Row],[Latency (ms)]] = "", "", tblInputSheet[[#This Row],[Latency (ms)]]), "")</f>
        <v>0</v>
      </c>
      <c r="Q20" s="8">
        <f>IFERROR(SUM(tblDisplaySheet2[[#This Row],[DB Calls (ms)]:[Latency (ms)]]), "")</f>
        <v>0</v>
      </c>
      <c r="R20" s="8">
        <f>IFERROR(tblDisplaySheet[[#This Row],[Total Process Time]], "")</f>
        <v>0</v>
      </c>
      <c r="S20" s="8">
        <f>IFERROR(tblDisplaySheet[[#This Row],[Total Process Path Length]], "")</f>
        <v>3890</v>
      </c>
      <c r="T20" s="8">
        <f>IFERROR(tblDisplaySheet[[#This Row],[Process NFR]], "")</f>
        <v>0</v>
      </c>
      <c r="U20" s="8">
        <f>IFERROR(tblDisplaySheet[[#This Row],[Total Process NFR]], "")</f>
        <v>0</v>
      </c>
      <c r="V20" s="8">
        <f>IFERROR(tblDisplaySheet[[#This Row],[Total Process Path Length NFR]], "")</f>
        <v>4238</v>
      </c>
      <c r="W20" s="8">
        <f>IFERROR(tblDisplaySheet[[#This Row],[Difference]], "")</f>
        <v>348</v>
      </c>
      <c r="X20" s="8" t="str">
        <f>IFERROR(tblDisplaySheet[[#This Row],[Status]], "")</f>
        <v>On Target</v>
      </c>
      <c r="Y20" s="24" t="str">
        <f>IFERROR(tblDisplaySheet[[#This Row],[Is Leaf?]], "")</f>
        <v>G</v>
      </c>
      <c r="Z20" s="24" t="str">
        <f>IFERROR(IF(tblInputSheet[[#This Row],[Owner]] = "", "", tblInputSheet[[#This Row],[Owner]]), "")</f>
        <v>Alak</v>
      </c>
      <c r="AA20" s="24" t="str">
        <f>IFERROR(IF(tblInputSheet[[#This Row],[Notes]] = "", "", tblInputSheet[[#This Row],[Notes]]), "")</f>
        <v/>
      </c>
    </row>
    <row r="21" spans="1:27" x14ac:dyDescent="0.25">
      <c r="A21" s="9">
        <f>IFERROR(IF(tblInputSheet[[#This Row],[Level]] = "", "", tblInputSheet[[#This Row],[Level]]), "")</f>
        <v>3</v>
      </c>
      <c r="B21" s="9">
        <f>IFERROR(IF(tblInputSheet[[#This Row],[Sl.No]] = "", "", tblInputSheet[[#This Row],[Sl.No]]), "")</f>
        <v>19</v>
      </c>
      <c r="C21" s="9" t="str">
        <f>IFERROR(IF(tblInputSheet[[#This Row],[Group]] = "", "", tblInputSheet[[#This Row],[Group]]), "")</f>
        <v>Service Level</v>
      </c>
      <c r="D21" s="9" t="str">
        <f>IFERROR(IF(tblInputSheet[[#This Row],[Process]] = "", "", REPT("*",Demo!$A21)&amp;""&amp;tblInputSheet[[#This Row],[Process]]), "")</f>
        <v>***Service Mainline</v>
      </c>
      <c r="E21" s="9" t="str">
        <f>IFERROR(IF(tblInputSheet[[#This Row],[Hosted Platform]] = "", "", tblInputSheet[[#This Row],[Hosted Platform]]), "")</f>
        <v>Legacy BC</v>
      </c>
      <c r="F21" s="9" t="str">
        <f>IFERROR(IF(tblInputSheet[[#This Row],[Provider]] = "-", "", tblInputSheet[[#This Row],[Provider]]), "")</f>
        <v>Claims-Legacy</v>
      </c>
      <c r="G21" s="9" t="str">
        <f>IFERROR(IF(tblInputSheet[[#This Row],[Consumer]] = "-", "", tblInputSheet[[#This Row],[Consumer]]), "")</f>
        <v>Claims-Legacy</v>
      </c>
      <c r="H21" s="9" t="str">
        <f>IFERROR(IF(tblInputSheet[[#This Row],[Integration Pattern]] = "-", "", tblInputSheet[[#This Row],[Integration Pattern]]), "")</f>
        <v>BC Internal</v>
      </c>
      <c r="I21" s="9" t="str">
        <f>IFERROR(IF(tblInputSheet[[#This Row],[Current State]] = "-", "", tblInputSheet[[#This Row],[Current State]]), "")</f>
        <v>Y</v>
      </c>
      <c r="J21" s="9" t="str">
        <f>IFERROR(IF(tblInputSheet[[#This Row],[End State]] = "-", "", tblInputSheet[[#This Row],[End State]]), "")</f>
        <v>N</v>
      </c>
      <c r="K21" s="9" t="str">
        <f>IFERROR(IF(tblInputSheet[[#This Row],[MVP]] = "-", "", tblInputSheet[[#This Row],[MVP]]), "")</f>
        <v>Y</v>
      </c>
      <c r="L21" s="8">
        <f>IFERROR(IF(tblInputSheet[[#This Row],[Count of Invocations]] = "", "", tblInputSheet[[#This Row],[Count of Invocations]]), "")</f>
        <v>1</v>
      </c>
      <c r="M21" s="18">
        <f>IFERROR(IF(tblInputSheet[[#This Row],[DB Calls (ms)]] = "", "", tblInputSheet[[#This Row],[DB Calls (ms)]]), "")</f>
        <v>1</v>
      </c>
      <c r="N21" s="18">
        <f>IFERROR(IF(tblInputSheet[[#This Row],[Logic (ms)]] = "", "", tblInputSheet[[#This Row],[Logic (ms)]]), "")</f>
        <v>5</v>
      </c>
      <c r="O21" s="18">
        <f>IFERROR(IF(tblInputSheet[[#This Row],[Rules (ms)]] = "", "", tblInputSheet[[#This Row],[Rules (ms)]]), "")</f>
        <v>0</v>
      </c>
      <c r="P21" s="18">
        <f>IFERROR(IF(tblInputSheet[[#This Row],[Latency (ms)]] = "", "", tblInputSheet[[#This Row],[Latency (ms)]]), "")</f>
        <v>1</v>
      </c>
      <c r="Q21" s="8">
        <f>IFERROR(SUM(tblDisplaySheet2[[#This Row],[DB Calls (ms)]:[Latency (ms)]]), "")</f>
        <v>7</v>
      </c>
      <c r="R21" s="8">
        <f>IFERROR(tblDisplaySheet[[#This Row],[Total Process Time]], "")</f>
        <v>7</v>
      </c>
      <c r="S21" s="8">
        <f>IFERROR(tblDisplaySheet[[#This Row],[Total Process Path Length]], "")</f>
        <v>3890</v>
      </c>
      <c r="T21" s="8">
        <f>IFERROR(tblDisplaySheet[[#This Row],[Process NFR]], "")</f>
        <v>10</v>
      </c>
      <c r="U21" s="8">
        <f>IFERROR(tblDisplaySheet[[#This Row],[Total Process NFR]], "")</f>
        <v>10</v>
      </c>
      <c r="V21" s="8">
        <f>IFERROR(tblDisplaySheet[[#This Row],[Total Process Path Length NFR]], "")</f>
        <v>4238</v>
      </c>
      <c r="W21" s="8">
        <f>IFERROR(tblDisplaySheet[[#This Row],[Difference]], "")</f>
        <v>348</v>
      </c>
      <c r="X21" s="8" t="str">
        <f>IFERROR(tblDisplaySheet[[#This Row],[Status]], "")</f>
        <v>On Target</v>
      </c>
      <c r="Y21" s="24" t="str">
        <f>IFERROR(tblDisplaySheet[[#This Row],[Is Leaf?]], "")</f>
        <v>N</v>
      </c>
      <c r="Z21" s="24" t="str">
        <f>IFERROR(IF(tblInputSheet[[#This Row],[Owner]] = "", "", tblInputSheet[[#This Row],[Owner]]), "")</f>
        <v>Alak</v>
      </c>
      <c r="AA21" s="24" t="str">
        <f>IFERROR(IF(tblInputSheet[[#This Row],[Notes]] = "", "", tblInputSheet[[#This Row],[Notes]]), "")</f>
        <v/>
      </c>
    </row>
    <row r="22" spans="1:27" x14ac:dyDescent="0.25">
      <c r="A22" s="9">
        <f>IFERROR(IF(tblInputSheet[[#This Row],[Level]] = "", "", tblInputSheet[[#This Row],[Level]]), "")</f>
        <v>4</v>
      </c>
      <c r="B22" s="9">
        <f>IFERROR(IF(tblInputSheet[[#This Row],[Sl.No]] = "", "", tblInputSheet[[#This Row],[Sl.No]]), "")</f>
        <v>20</v>
      </c>
      <c r="C22" s="9" t="str">
        <f>IFERROR(IF(tblInputSheet[[#This Row],[Group]] = "", "", tblInputSheet[[#This Row],[Group]]), "")</f>
        <v>Service Level</v>
      </c>
      <c r="D22" s="9" t="str">
        <f>IFERROR(IF(tblInputSheet[[#This Row],[Process]] = "", "", REPT("*",Demo!$A22)&amp;""&amp;tblInputSheet[[#This Row],[Process]]), "")</f>
        <v>****ITS Module</v>
      </c>
      <c r="E22" s="9" t="str">
        <f>IFERROR(IF(tblInputSheet[[#This Row],[Hosted Platform]] = "", "", tblInputSheet[[#This Row],[Hosted Platform]]), "")</f>
        <v>Legacy BC</v>
      </c>
      <c r="F22" s="9" t="str">
        <f>IFERROR(IF(tblInputSheet[[#This Row],[Provider]] = "-", "", tblInputSheet[[#This Row],[Provider]]), "")</f>
        <v>Claims-Legacy</v>
      </c>
      <c r="G22" s="9" t="str">
        <f>IFERROR(IF(tblInputSheet[[#This Row],[Consumer]] = "-", "", tblInputSheet[[#This Row],[Consumer]]), "")</f>
        <v>Claims-Legacy</v>
      </c>
      <c r="H22" s="9" t="str">
        <f>IFERROR(IF(tblInputSheet[[#This Row],[Integration Pattern]] = "-", "", tblInputSheet[[#This Row],[Integration Pattern]]), "")</f>
        <v>BC Internal</v>
      </c>
      <c r="I22" s="9" t="str">
        <f>IFERROR(IF(tblInputSheet[[#This Row],[Current State]] = "-", "", tblInputSheet[[#This Row],[Current State]]), "")</f>
        <v>Y</v>
      </c>
      <c r="J22" s="9" t="str">
        <f>IFERROR(IF(tblInputSheet[[#This Row],[End State]] = "-", "", tblInputSheet[[#This Row],[End State]]), "")</f>
        <v>N</v>
      </c>
      <c r="K22" s="9" t="str">
        <f>IFERROR(IF(tblInputSheet[[#This Row],[MVP]] = "-", "", tblInputSheet[[#This Row],[MVP]]), "")</f>
        <v>Y</v>
      </c>
      <c r="L22" s="8">
        <f>IFERROR(IF(tblInputSheet[[#This Row],[Count of Invocations]] = "", "", tblInputSheet[[#This Row],[Count of Invocations]]), "")</f>
        <v>1</v>
      </c>
      <c r="M22" s="18">
        <f>IFERROR(IF(tblInputSheet[[#This Row],[DB Calls (ms)]] = "", "", tblInputSheet[[#This Row],[DB Calls (ms)]]), "")</f>
        <v>1</v>
      </c>
      <c r="N22" s="18">
        <f>IFERROR(IF(tblInputSheet[[#This Row],[Logic (ms)]] = "", "", tblInputSheet[[#This Row],[Logic (ms)]]), "")</f>
        <v>5</v>
      </c>
      <c r="O22" s="18">
        <f>IFERROR(IF(tblInputSheet[[#This Row],[Rules (ms)]] = "", "", tblInputSheet[[#This Row],[Rules (ms)]]), "")</f>
        <v>0</v>
      </c>
      <c r="P22" s="18">
        <f>IFERROR(IF(tblInputSheet[[#This Row],[Latency (ms)]] = "", "", tblInputSheet[[#This Row],[Latency (ms)]]), "")</f>
        <v>1</v>
      </c>
      <c r="Q22" s="8">
        <f>IFERROR(SUM(tblDisplaySheet2[[#This Row],[DB Calls (ms)]:[Latency (ms)]]), "")</f>
        <v>7</v>
      </c>
      <c r="R22" s="8">
        <f>IFERROR(tblDisplaySheet[[#This Row],[Total Process Time]], "")</f>
        <v>7</v>
      </c>
      <c r="S22" s="8">
        <f>IFERROR(tblDisplaySheet[[#This Row],[Total Process Path Length]], "")</f>
        <v>7</v>
      </c>
      <c r="T22" s="8">
        <f>IFERROR(tblDisplaySheet[[#This Row],[Process NFR]], "")</f>
        <v>10</v>
      </c>
      <c r="U22" s="8">
        <f>IFERROR(tblDisplaySheet[[#This Row],[Total Process NFR]], "")</f>
        <v>10</v>
      </c>
      <c r="V22" s="8">
        <f>IFERROR(tblDisplaySheet[[#This Row],[Total Process Path Length NFR]], "")</f>
        <v>10</v>
      </c>
      <c r="W22" s="8">
        <f>IFERROR(tblDisplaySheet[[#This Row],[Difference]], "")</f>
        <v>3</v>
      </c>
      <c r="X22" s="8" t="str">
        <f>IFERROR(tblDisplaySheet[[#This Row],[Status]], "")</f>
        <v>On Target</v>
      </c>
      <c r="Y22" s="24" t="str">
        <f>IFERROR(tblDisplaySheet[[#This Row],[Is Leaf?]], "")</f>
        <v>Y</v>
      </c>
      <c r="Z22" s="24" t="str">
        <f>IFERROR(IF(tblInputSheet[[#This Row],[Owner]] = "", "", tblInputSheet[[#This Row],[Owner]]), "")</f>
        <v>Alak</v>
      </c>
      <c r="AA22" s="24" t="str">
        <f>IFERROR(IF(tblInputSheet[[#This Row],[Notes]] = "", "", tblInputSheet[[#This Row],[Notes]]), "")</f>
        <v/>
      </c>
    </row>
    <row r="23" spans="1:27" x14ac:dyDescent="0.25">
      <c r="A23" s="9">
        <f>IFERROR(IF(tblInputSheet[[#This Row],[Level]] = "", "", tblInputSheet[[#This Row],[Level]]), "")</f>
        <v>4</v>
      </c>
      <c r="B23" s="9">
        <f>IFERROR(IF(tblInputSheet[[#This Row],[Sl.No]] = "", "", tblInputSheet[[#This Row],[Sl.No]]), "")</f>
        <v>21</v>
      </c>
      <c r="C23" s="9" t="str">
        <f>IFERROR(IF(tblInputSheet[[#This Row],[Group]] = "", "", tblInputSheet[[#This Row],[Group]]), "")</f>
        <v>Service Level</v>
      </c>
      <c r="D23" s="9" t="str">
        <f>IFERROR(IF(tblInputSheet[[#This Row],[Process]] = "", "", REPT("*",Demo!$A23)&amp;""&amp;tblInputSheet[[#This Row],[Process]]), "")</f>
        <v>****TPL Select</v>
      </c>
      <c r="E23" s="9" t="str">
        <f>IFERROR(IF(tblInputSheet[[#This Row],[Hosted Platform]] = "", "", tblInputSheet[[#This Row],[Hosted Platform]]), "")</f>
        <v>Legacy BC</v>
      </c>
      <c r="F23" s="9" t="str">
        <f>IFERROR(IF(tblInputSheet[[#This Row],[Provider]] = "-", "", tblInputSheet[[#This Row],[Provider]]), "")</f>
        <v>Claims-Legacy</v>
      </c>
      <c r="G23" s="9" t="str">
        <f>IFERROR(IF(tblInputSheet[[#This Row],[Consumer]] = "-", "", tblInputSheet[[#This Row],[Consumer]]), "")</f>
        <v>Claims-Legacy</v>
      </c>
      <c r="H23" s="9" t="str">
        <f>IFERROR(IF(tblInputSheet[[#This Row],[Integration Pattern]] = "-", "", tblInputSheet[[#This Row],[Integration Pattern]]), "")</f>
        <v>BC Internal</v>
      </c>
      <c r="I23" s="9" t="str">
        <f>IFERROR(IF(tblInputSheet[[#This Row],[Current State]] = "-", "", tblInputSheet[[#This Row],[Current State]]), "")</f>
        <v>Y</v>
      </c>
      <c r="J23" s="9" t="str">
        <f>IFERROR(IF(tblInputSheet[[#This Row],[End State]] = "-", "", tblInputSheet[[#This Row],[End State]]), "")</f>
        <v>N</v>
      </c>
      <c r="K23" s="9" t="str">
        <f>IFERROR(IF(tblInputSheet[[#This Row],[MVP]] = "-", "", tblInputSheet[[#This Row],[MVP]]), "")</f>
        <v>Y</v>
      </c>
      <c r="L23" s="8">
        <f>IFERROR(IF(tblInputSheet[[#This Row],[Count of Invocations]] = "", "", tblInputSheet[[#This Row],[Count of Invocations]]), "")</f>
        <v>1</v>
      </c>
      <c r="M23" s="18">
        <f>IFERROR(IF(tblInputSheet[[#This Row],[DB Calls (ms)]] = "", "", tblInputSheet[[#This Row],[DB Calls (ms)]]), "")</f>
        <v>1</v>
      </c>
      <c r="N23" s="18">
        <f>IFERROR(IF(tblInputSheet[[#This Row],[Logic (ms)]] = "", "", tblInputSheet[[#This Row],[Logic (ms)]]), "")</f>
        <v>5</v>
      </c>
      <c r="O23" s="18">
        <f>IFERROR(IF(tblInputSheet[[#This Row],[Rules (ms)]] = "", "", tblInputSheet[[#This Row],[Rules (ms)]]), "")</f>
        <v>0</v>
      </c>
      <c r="P23" s="18">
        <f>IFERROR(IF(tblInputSheet[[#This Row],[Latency (ms)]] = "", "", tblInputSheet[[#This Row],[Latency (ms)]]), "")</f>
        <v>1</v>
      </c>
      <c r="Q23" s="8">
        <f>IFERROR(SUM(tblDisplaySheet2[[#This Row],[DB Calls (ms)]:[Latency (ms)]]), "")</f>
        <v>7</v>
      </c>
      <c r="R23" s="8">
        <f>IFERROR(tblDisplaySheet[[#This Row],[Total Process Time]], "")</f>
        <v>7</v>
      </c>
      <c r="S23" s="8">
        <f>IFERROR(tblDisplaySheet[[#This Row],[Total Process Path Length]], "")</f>
        <v>7</v>
      </c>
      <c r="T23" s="8">
        <f>IFERROR(tblDisplaySheet[[#This Row],[Process NFR]], "")</f>
        <v>10</v>
      </c>
      <c r="U23" s="8">
        <f>IFERROR(tblDisplaySheet[[#This Row],[Total Process NFR]], "")</f>
        <v>10</v>
      </c>
      <c r="V23" s="8">
        <f>IFERROR(tblDisplaySheet[[#This Row],[Total Process Path Length NFR]], "")</f>
        <v>10</v>
      </c>
      <c r="W23" s="8">
        <f>IFERROR(tblDisplaySheet[[#This Row],[Difference]], "")</f>
        <v>3</v>
      </c>
      <c r="X23" s="8" t="str">
        <f>IFERROR(tblDisplaySheet[[#This Row],[Status]], "")</f>
        <v>On Target</v>
      </c>
      <c r="Y23" s="24" t="str">
        <f>IFERROR(tblDisplaySheet[[#This Row],[Is Leaf?]], "")</f>
        <v>Y</v>
      </c>
      <c r="Z23" s="24" t="str">
        <f>IFERROR(IF(tblInputSheet[[#This Row],[Owner]] = "", "", tblInputSheet[[#This Row],[Owner]]), "")</f>
        <v>Alak</v>
      </c>
      <c r="AA23" s="24" t="str">
        <f>IFERROR(IF(tblInputSheet[[#This Row],[Notes]] = "", "", tblInputSheet[[#This Row],[Notes]]), "")</f>
        <v/>
      </c>
    </row>
    <row r="24" spans="1:27" x14ac:dyDescent="0.25">
      <c r="A24" s="9">
        <f>IFERROR(IF(tblInputSheet[[#This Row],[Level]] = "", "", tblInputSheet[[#This Row],[Level]]), "")</f>
        <v>4</v>
      </c>
      <c r="B24" s="9">
        <f>IFERROR(IF(tblInputSheet[[#This Row],[Sl.No]] = "", "", tblInputSheet[[#This Row],[Sl.No]]), "")</f>
        <v>22</v>
      </c>
      <c r="C24" s="9" t="str">
        <f>IFERROR(IF(tblInputSheet[[#This Row],[Group]] = "", "", tblInputSheet[[#This Row],[Group]]), "")</f>
        <v>Service Level</v>
      </c>
      <c r="D24" s="9" t="str">
        <f>IFERROR(IF(tblInputSheet[[#This Row],[Process]] = "", "", REPT("*",Demo!$A24)&amp;""&amp;tblInputSheet[[#This Row],[Process]]), "")</f>
        <v xml:space="preserve">****Service Level Mule Adapter </v>
      </c>
      <c r="E24" s="9" t="str">
        <f>IFERROR(IF(tblInputSheet[[#This Row],[Hosted Platform]] = "", "", tblInputSheet[[#This Row],[Hosted Platform]]), "")</f>
        <v>Mule ESB</v>
      </c>
      <c r="F24" s="9" t="str">
        <f>IFERROR(IF(tblInputSheet[[#This Row],[Provider]] = "-", "", tblInputSheet[[#This Row],[Provider]]), "")</f>
        <v>Key-Claims Adjudication</v>
      </c>
      <c r="G24" s="9" t="str">
        <f>IFERROR(IF(tblInputSheet[[#This Row],[Consumer]] = "-", "", tblInputSheet[[#This Row],[Consumer]]), "")</f>
        <v>Key-Claims Adjudication</v>
      </c>
      <c r="H24" s="9" t="str">
        <f>IFERROR(IF(tblInputSheet[[#This Row],[Integration Pattern]] = "-", "", tblInputSheet[[#This Row],[Integration Pattern]]), "")</f>
        <v>ESB - MQ Integration</v>
      </c>
      <c r="I24" s="9" t="str">
        <f>IFERROR(IF(tblInputSheet[[#This Row],[Current State]] = "-", "", tblInputSheet[[#This Row],[Current State]]), "")</f>
        <v>Y</v>
      </c>
      <c r="J24" s="9" t="str">
        <f>IFERROR(IF(tblInputSheet[[#This Row],[End State]] = "-", "", tblInputSheet[[#This Row],[End State]]), "")</f>
        <v>N</v>
      </c>
      <c r="K24" s="9" t="str">
        <f>IFERROR(IF(tblInputSheet[[#This Row],[MVP]] = "-", "", tblInputSheet[[#This Row],[MVP]]), "")</f>
        <v>Y</v>
      </c>
      <c r="L24" s="8">
        <f>IFERROR(IF(tblInputSheet[[#This Row],[Count of Invocations]] = "", "", tblInputSheet[[#This Row],[Count of Invocations]]), "")</f>
        <v>1</v>
      </c>
      <c r="M24" s="18">
        <f>IFERROR(IF(tblInputSheet[[#This Row],[DB Calls (ms)]] = "", "", tblInputSheet[[#This Row],[DB Calls (ms)]]), "")</f>
        <v>0</v>
      </c>
      <c r="N24" s="18">
        <f>IFERROR(IF(tblInputSheet[[#This Row],[Logic (ms)]] = "", "", tblInputSheet[[#This Row],[Logic (ms)]]), "")</f>
        <v>40</v>
      </c>
      <c r="O24" s="18">
        <f>IFERROR(IF(tblInputSheet[[#This Row],[Rules (ms)]] = "", "", tblInputSheet[[#This Row],[Rules (ms)]]), "")</f>
        <v>0</v>
      </c>
      <c r="P24" s="18">
        <f>IFERROR(IF(tblInputSheet[[#This Row],[Latency (ms)]] = "", "", tblInputSheet[[#This Row],[Latency (ms)]]), "")</f>
        <v>25</v>
      </c>
      <c r="Q24" s="8">
        <f>IFERROR(SUM(tblDisplaySheet2[[#This Row],[DB Calls (ms)]:[Latency (ms)]]), "")</f>
        <v>65</v>
      </c>
      <c r="R24" s="8">
        <f>IFERROR(tblDisplaySheet[[#This Row],[Total Process Time]], "")</f>
        <v>65</v>
      </c>
      <c r="S24" s="8">
        <f>IFERROR(tblDisplaySheet[[#This Row],[Total Process Path Length]], "")</f>
        <v>3819</v>
      </c>
      <c r="T24" s="8">
        <f>IFERROR(tblDisplaySheet[[#This Row],[Process NFR]], "")</f>
        <v>65</v>
      </c>
      <c r="U24" s="8">
        <f>IFERROR(tblDisplaySheet[[#This Row],[Total Process NFR]], "")</f>
        <v>65</v>
      </c>
      <c r="V24" s="8">
        <f>IFERROR(tblDisplaySheet[[#This Row],[Total Process Path Length NFR]], "")</f>
        <v>4158</v>
      </c>
      <c r="W24" s="8">
        <f>IFERROR(tblDisplaySheet[[#This Row],[Difference]], "")</f>
        <v>339</v>
      </c>
      <c r="X24" s="8" t="str">
        <f>IFERROR(tblDisplaySheet[[#This Row],[Status]], "")</f>
        <v>On Target</v>
      </c>
      <c r="Y24" s="24" t="str">
        <f>IFERROR(tblDisplaySheet[[#This Row],[Is Leaf?]], "")</f>
        <v>N</v>
      </c>
      <c r="Z24" s="24" t="str">
        <f>IFERROR(IF(tblInputSheet[[#This Row],[Owner]] = "", "", tblInputSheet[[#This Row],[Owner]]), "")</f>
        <v>Alak</v>
      </c>
      <c r="AA24" s="24" t="str">
        <f>IFERROR(IF(tblInputSheet[[#This Row],[Notes]] = "", "", tblInputSheet[[#This Row],[Notes]]), "")</f>
        <v/>
      </c>
    </row>
    <row r="25" spans="1:27" hidden="1" x14ac:dyDescent="0.25">
      <c r="A25" s="9">
        <f>IFERROR(IF(tblInputSheet[[#This Row],[Level]] = "", "", tblInputSheet[[#This Row],[Level]]), "")</f>
        <v>5</v>
      </c>
      <c r="B25" s="9">
        <f>IFERROR(IF(tblInputSheet[[#This Row],[Sl.No]] = "", "", tblInputSheet[[#This Row],[Sl.No]]), "")</f>
        <v>23</v>
      </c>
      <c r="C25" s="9" t="str">
        <f>IFERROR(IF(tblInputSheet[[#This Row],[Group]] = "", "", tblInputSheet[[#This Row],[Group]]), "")</f>
        <v>Service Level</v>
      </c>
      <c r="D25" s="9" t="str">
        <f>IFERROR(IF(tblInputSheet[[#This Row],[Process]] = "", "", REPT("*",Demo!$A25)&amp;""&amp;tblInputSheet[[#This Row],[Process]]), "")</f>
        <v>*****Claim Adjudication Primier Microservice</v>
      </c>
      <c r="E25" s="9" t="str">
        <f>IFERROR(IF(tblInputSheet[[#This Row],[Hosted Platform]] = "", "", tblInputSheet[[#This Row],[Hosted Platform]]), "")</f>
        <v>PCF</v>
      </c>
      <c r="F25" s="9" t="str">
        <f>IFERROR(IF(tblInputSheet[[#This Row],[Provider]] = "-", "", tblInputSheet[[#This Row],[Provider]]), "")</f>
        <v>Key-Claims Adjudication</v>
      </c>
      <c r="G25" s="9" t="str">
        <f>IFERROR(IF(tblInputSheet[[#This Row],[Consumer]] = "-", "", tblInputSheet[[#This Row],[Consumer]]), "")</f>
        <v>Key-Claims Adjudication</v>
      </c>
      <c r="H25" s="9" t="str">
        <f>IFERROR(IF(tblInputSheet[[#This Row],[Integration Pattern]] = "-", "", tblInputSheet[[#This Row],[Integration Pattern]]), "")</f>
        <v>PCF Internal (C-to-C)</v>
      </c>
      <c r="I25" s="9" t="str">
        <f>IFERROR(IF(tblInputSheet[[#This Row],[Current State]] = "-", "", tblInputSheet[[#This Row],[Current State]]), "")</f>
        <v>Y</v>
      </c>
      <c r="J25" s="9" t="str">
        <f>IFERROR(IF(tblInputSheet[[#This Row],[End State]] = "-", "", tblInputSheet[[#This Row],[End State]]), "")</f>
        <v>Y</v>
      </c>
      <c r="K25" s="9" t="str">
        <f>IFERROR(IF(tblInputSheet[[#This Row],[MVP]] = "-", "", tblInputSheet[[#This Row],[MVP]]), "")</f>
        <v>Y</v>
      </c>
      <c r="L25" s="8">
        <f>IFERROR(IF(tblInputSheet[[#This Row],[Count of Invocations]] = "", "", tblInputSheet[[#This Row],[Count of Invocations]]), "")</f>
        <v>1</v>
      </c>
      <c r="M25" s="18">
        <f>IFERROR(IF(tblInputSheet[[#This Row],[DB Calls (ms)]] = "", "", tblInputSheet[[#This Row],[DB Calls (ms)]]), "")</f>
        <v>1</v>
      </c>
      <c r="N25" s="18">
        <f>IFERROR(IF(tblInputSheet[[#This Row],[Logic (ms)]] = "", "", tblInputSheet[[#This Row],[Logic (ms)]]), "")</f>
        <v>1</v>
      </c>
      <c r="O25" s="18">
        <f>IFERROR(IF(tblInputSheet[[#This Row],[Rules (ms)]] = "", "", tblInputSheet[[#This Row],[Rules (ms)]]), "")</f>
        <v>1</v>
      </c>
      <c r="P25" s="18">
        <f>IFERROR(IF(tblInputSheet[[#This Row],[Latency (ms)]] = "", "", tblInputSheet[[#This Row],[Latency (ms)]]), "")</f>
        <v>5</v>
      </c>
      <c r="Q25" s="8">
        <f>IFERROR(SUM(tblDisplaySheet2[[#This Row],[DB Calls (ms)]:[Latency (ms)]]), "")</f>
        <v>8</v>
      </c>
      <c r="R25" s="8">
        <f>IFERROR(tblDisplaySheet[[#This Row],[Total Process Time]], "")</f>
        <v>8</v>
      </c>
      <c r="S25" s="8">
        <f>IFERROR(tblDisplaySheet[[#This Row],[Total Process Path Length]], "")</f>
        <v>3754</v>
      </c>
      <c r="T25" s="8">
        <f>IFERROR(tblDisplaySheet[[#This Row],[Process NFR]], "")</f>
        <v>10</v>
      </c>
      <c r="U25" s="8">
        <f>IFERROR(tblDisplaySheet[[#This Row],[Total Process NFR]], "")</f>
        <v>10</v>
      </c>
      <c r="V25" s="8">
        <f>IFERROR(tblDisplaySheet[[#This Row],[Total Process Path Length NFR]], "")</f>
        <v>4093</v>
      </c>
      <c r="W25" s="8">
        <f>IFERROR(tblDisplaySheet[[#This Row],[Difference]], "")</f>
        <v>339</v>
      </c>
      <c r="X25" s="8" t="str">
        <f>IFERROR(tblDisplaySheet[[#This Row],[Status]], "")</f>
        <v>On Target</v>
      </c>
      <c r="Y25" s="24" t="str">
        <f>IFERROR(tblDisplaySheet[[#This Row],[Is Leaf?]], "")</f>
        <v>N</v>
      </c>
      <c r="Z25" s="24" t="str">
        <f>IFERROR(IF(tblInputSheet[[#This Row],[Owner]] = "", "", tblInputSheet[[#This Row],[Owner]]), "")</f>
        <v>Alak</v>
      </c>
      <c r="AA25" s="24" t="str">
        <f>IFERROR(IF(tblInputSheet[[#This Row],[Notes]] = "", "", tblInputSheet[[#This Row],[Notes]]), "")</f>
        <v/>
      </c>
    </row>
    <row r="26" spans="1:27" hidden="1" x14ac:dyDescent="0.25">
      <c r="A26" s="9">
        <f>IFERROR(IF(tblInputSheet[[#This Row],[Level]] = "", "", tblInputSheet[[#This Row],[Level]]), "")</f>
        <v>6</v>
      </c>
      <c r="B26" s="9">
        <f>IFERROR(IF(tblInputSheet[[#This Row],[Sl.No]] = "", "", tblInputSheet[[#This Row],[Sl.No]]), "")</f>
        <v>24</v>
      </c>
      <c r="C26" s="9" t="str">
        <f>IFERROR(IF(tblInputSheet[[#This Row],[Group]] = "", "", tblInputSheet[[#This Row],[Group]]), "")</f>
        <v>Service Level</v>
      </c>
      <c r="D26" s="9" t="str">
        <f>IFERROR(IF(tblInputSheet[[#This Row],[Process]] = "", "", REPT("*",Demo!$A26)&amp;""&amp;tblInputSheet[[#This Row],[Process]]), "")</f>
        <v>******Claim Adjudication Sequencer Microservice</v>
      </c>
      <c r="E26" s="9" t="str">
        <f>IFERROR(IF(tblInputSheet[[#This Row],[Hosted Platform]] = "", "", tblInputSheet[[#This Row],[Hosted Platform]]), "")</f>
        <v>PCF</v>
      </c>
      <c r="F26" s="9" t="str">
        <f>IFERROR(IF(tblInputSheet[[#This Row],[Provider]] = "-", "", tblInputSheet[[#This Row],[Provider]]), "")</f>
        <v>Key-Claims Adjudication</v>
      </c>
      <c r="G26" s="9" t="str">
        <f>IFERROR(IF(tblInputSheet[[#This Row],[Consumer]] = "-", "", tblInputSheet[[#This Row],[Consumer]]), "")</f>
        <v>Key-Claims Adjudication</v>
      </c>
      <c r="H26" s="9" t="str">
        <f>IFERROR(IF(tblInputSheet[[#This Row],[Integration Pattern]] = "-", "", tblInputSheet[[#This Row],[Integration Pattern]]), "")</f>
        <v>PCF Internal (C-to-C)</v>
      </c>
      <c r="I26" s="9" t="str">
        <f>IFERROR(IF(tblInputSheet[[#This Row],[Current State]] = "-", "", tblInputSheet[[#This Row],[Current State]]), "")</f>
        <v>Y</v>
      </c>
      <c r="J26" s="9" t="str">
        <f>IFERROR(IF(tblInputSheet[[#This Row],[End State]] = "-", "", tblInputSheet[[#This Row],[End State]]), "")</f>
        <v>Y</v>
      </c>
      <c r="K26" s="9" t="str">
        <f>IFERROR(IF(tblInputSheet[[#This Row],[MVP]] = "-", "", tblInputSheet[[#This Row],[MVP]]), "")</f>
        <v>Y</v>
      </c>
      <c r="L26" s="8">
        <f>IFERROR(IF(tblInputSheet[[#This Row],[Count of Invocations]] = "", "", tblInputSheet[[#This Row],[Count of Invocations]]), "")</f>
        <v>1</v>
      </c>
      <c r="M26" s="18">
        <f>IFERROR(IF(tblInputSheet[[#This Row],[DB Calls (ms)]] = "", "", tblInputSheet[[#This Row],[DB Calls (ms)]]), "")</f>
        <v>1</v>
      </c>
      <c r="N26" s="18">
        <f>IFERROR(IF(tblInputSheet[[#This Row],[Logic (ms)]] = "", "", tblInputSheet[[#This Row],[Logic (ms)]]), "")</f>
        <v>1</v>
      </c>
      <c r="O26" s="18">
        <f>IFERROR(IF(tblInputSheet[[#This Row],[Rules (ms)]] = "", "", tblInputSheet[[#This Row],[Rules (ms)]]), "")</f>
        <v>1</v>
      </c>
      <c r="P26" s="18">
        <f>IFERROR(IF(tblInputSheet[[#This Row],[Latency (ms)]] = "", "", tblInputSheet[[#This Row],[Latency (ms)]]), "")</f>
        <v>5</v>
      </c>
      <c r="Q26" s="8">
        <f>IFERROR(SUM(tblDisplaySheet2[[#This Row],[DB Calls (ms)]:[Latency (ms)]]), "")</f>
        <v>8</v>
      </c>
      <c r="R26" s="8">
        <f>IFERROR(tblDisplaySheet[[#This Row],[Total Process Time]], "")</f>
        <v>8</v>
      </c>
      <c r="S26" s="8">
        <f>IFERROR(tblDisplaySheet[[#This Row],[Total Process Path Length]], "")</f>
        <v>3746</v>
      </c>
      <c r="T26" s="8">
        <f>IFERROR(tblDisplaySheet[[#This Row],[Process NFR]], "")</f>
        <v>10</v>
      </c>
      <c r="U26" s="8">
        <f>IFERROR(tblDisplaySheet[[#This Row],[Total Process NFR]], "")</f>
        <v>10</v>
      </c>
      <c r="V26" s="8">
        <f>IFERROR(tblDisplaySheet[[#This Row],[Total Process Path Length NFR]], "")</f>
        <v>4083</v>
      </c>
      <c r="W26" s="8">
        <f>IFERROR(tblDisplaySheet[[#This Row],[Difference]], "")</f>
        <v>337</v>
      </c>
      <c r="X26" s="8" t="str">
        <f>IFERROR(tblDisplaySheet[[#This Row],[Status]], "")</f>
        <v>On Target</v>
      </c>
      <c r="Y26" s="24" t="str">
        <f>IFERROR(tblDisplaySheet[[#This Row],[Is Leaf?]], "")</f>
        <v>N</v>
      </c>
      <c r="Z26" s="24" t="str">
        <f>IFERROR(IF(tblInputSheet[[#This Row],[Owner]] = "", "", tblInputSheet[[#This Row],[Owner]]), "")</f>
        <v>Alak</v>
      </c>
      <c r="AA26" s="24" t="str">
        <f>IFERROR(IF(tblInputSheet[[#This Row],[Notes]] = "", "", tblInputSheet[[#This Row],[Notes]]), "")</f>
        <v/>
      </c>
    </row>
    <row r="27" spans="1:27" hidden="1" x14ac:dyDescent="0.25">
      <c r="A27" s="9">
        <f>IFERROR(IF(tblInputSheet[[#This Row],[Level]] = "", "", tblInputSheet[[#This Row],[Level]]), "")</f>
        <v>7</v>
      </c>
      <c r="B27" s="9">
        <f>IFERROR(IF(tblInputSheet[[#This Row],[Sl.No]] = "", "", tblInputSheet[[#This Row],[Sl.No]]), "")</f>
        <v>25</v>
      </c>
      <c r="C27" s="9" t="str">
        <f>IFERROR(IF(tblInputSheet[[#This Row],[Group]] = "", "", tblInputSheet[[#This Row],[Group]]), "")</f>
        <v>Service Level - BD</v>
      </c>
      <c r="D27" s="9" t="str">
        <f>IFERROR(IF(tblInputSheet[[#This Row],[Process]] = "", "", REPT("*",Demo!$A27)&amp;""&amp;tblInputSheet[[#This Row],[Process]]), "")</f>
        <v xml:space="preserve">*******BD </v>
      </c>
      <c r="E27" s="9" t="str">
        <f>IFERROR(IF(tblInputSheet[[#This Row],[Hosted Platform]] = "", "", tblInputSheet[[#This Row],[Hosted Platform]]), "")</f>
        <v>Business Process</v>
      </c>
      <c r="F27" s="9" t="str">
        <f>IFERROR(IF(tblInputSheet[[#This Row],[Provider]] = "-", "", tblInputSheet[[#This Row],[Provider]]), "")</f>
        <v>NA</v>
      </c>
      <c r="G27" s="9" t="str">
        <f>IFERROR(IF(tblInputSheet[[#This Row],[Consumer]] = "-", "", tblInputSheet[[#This Row],[Consumer]]), "")</f>
        <v>NA</v>
      </c>
      <c r="H27" s="9" t="str">
        <f>IFERROR(IF(tblInputSheet[[#This Row],[Integration Pattern]] = "-", "", tblInputSheet[[#This Row],[Integration Pattern]]), "")</f>
        <v>Group</v>
      </c>
      <c r="I27" s="9" t="str">
        <f>IFERROR(IF(tblInputSheet[[#This Row],[Current State]] = "-", "", tblInputSheet[[#This Row],[Current State]]), "")</f>
        <v>Y</v>
      </c>
      <c r="J27" s="9" t="str">
        <f>IFERROR(IF(tblInputSheet[[#This Row],[End State]] = "-", "", tblInputSheet[[#This Row],[End State]]), "")</f>
        <v>Y</v>
      </c>
      <c r="K27" s="9" t="str">
        <f>IFERROR(IF(tblInputSheet[[#This Row],[MVP]] = "-", "", tblInputSheet[[#This Row],[MVP]]), "")</f>
        <v>Y</v>
      </c>
      <c r="L27" s="8">
        <f>IFERROR(IF(tblInputSheet[[#This Row],[Count of Invocations]] = "", "", tblInputSheet[[#This Row],[Count of Invocations]]), "")</f>
        <v>1</v>
      </c>
      <c r="M27" s="18">
        <f>IFERROR(IF(tblInputSheet[[#This Row],[DB Calls (ms)]] = "", "", tblInputSheet[[#This Row],[DB Calls (ms)]]), "")</f>
        <v>0</v>
      </c>
      <c r="N27" s="18">
        <f>IFERROR(IF(tblInputSheet[[#This Row],[Logic (ms)]] = "", "", tblInputSheet[[#This Row],[Logic (ms)]]), "")</f>
        <v>0</v>
      </c>
      <c r="O27" s="18">
        <f>IFERROR(IF(tblInputSheet[[#This Row],[Rules (ms)]] = "", "", tblInputSheet[[#This Row],[Rules (ms)]]), "")</f>
        <v>0</v>
      </c>
      <c r="P27" s="18">
        <f>IFERROR(IF(tblInputSheet[[#This Row],[Latency (ms)]] = "", "", tblInputSheet[[#This Row],[Latency (ms)]]), "")</f>
        <v>0</v>
      </c>
      <c r="Q27" s="8">
        <f>IFERROR(SUM(tblDisplaySheet2[[#This Row],[DB Calls (ms)]:[Latency (ms)]]), "")</f>
        <v>0</v>
      </c>
      <c r="R27" s="8">
        <f>IFERROR(tblDisplaySheet[[#This Row],[Total Process Time]], "")</f>
        <v>0</v>
      </c>
      <c r="S27" s="8">
        <f>IFERROR(tblDisplaySheet[[#This Row],[Total Process Path Length]], "")</f>
        <v>740</v>
      </c>
      <c r="T27" s="8">
        <f>IFERROR(tblDisplaySheet[[#This Row],[Process NFR]], "")</f>
        <v>0</v>
      </c>
      <c r="U27" s="8">
        <f>IFERROR(tblDisplaySheet[[#This Row],[Total Process NFR]], "")</f>
        <v>0</v>
      </c>
      <c r="V27" s="8">
        <f>IFERROR(tblDisplaySheet[[#This Row],[Total Process Path Length NFR]], "")</f>
        <v>835</v>
      </c>
      <c r="W27" s="8">
        <f>IFERROR(tblDisplaySheet[[#This Row],[Difference]], "")</f>
        <v>95</v>
      </c>
      <c r="X27" s="8" t="str">
        <f>IFERROR(tblDisplaySheet[[#This Row],[Status]], "")</f>
        <v>On Target</v>
      </c>
      <c r="Y27" s="24" t="str">
        <f>IFERROR(tblDisplaySheet[[#This Row],[Is Leaf?]], "")</f>
        <v>G</v>
      </c>
      <c r="Z27" s="24" t="str">
        <f>IFERROR(IF(tblInputSheet[[#This Row],[Owner]] = "", "", tblInputSheet[[#This Row],[Owner]]), "")</f>
        <v>Sankar</v>
      </c>
      <c r="AA27" s="24" t="str">
        <f>IFERROR(IF(tblInputSheet[[#This Row],[Notes]] = "", "", tblInputSheet[[#This Row],[Notes]]), "")</f>
        <v/>
      </c>
    </row>
    <row r="28" spans="1:27" hidden="1" x14ac:dyDescent="0.25">
      <c r="A28" s="9">
        <f>IFERROR(IF(tblInputSheet[[#This Row],[Level]] = "", "", tblInputSheet[[#This Row],[Level]]), "")</f>
        <v>8</v>
      </c>
      <c r="B28" s="9">
        <f>IFERROR(IF(tblInputSheet[[#This Row],[Sl.No]] = "", "", tblInputSheet[[#This Row],[Sl.No]]), "")</f>
        <v>26</v>
      </c>
      <c r="C28" s="9" t="str">
        <f>IFERROR(IF(tblInputSheet[[#This Row],[Group]] = "", "", tblInputSheet[[#This Row],[Group]]), "")</f>
        <v>Service Level - BD</v>
      </c>
      <c r="D28" s="9" t="str">
        <f>IFERROR(IF(tblInputSheet[[#This Row],[Process]] = "", "", REPT("*",Demo!$A28)&amp;""&amp;tblInputSheet[[#This Row],[Process]]), "")</f>
        <v>********Benefit Determination Service</v>
      </c>
      <c r="E28" s="9" t="str">
        <f>IFERROR(IF(tblInputSheet[[#This Row],[Hosted Platform]] = "", "", tblInputSheet[[#This Row],[Hosted Platform]]), "")</f>
        <v>PCF</v>
      </c>
      <c r="F28" s="9" t="str">
        <f>IFERROR(IF(tblInputSheet[[#This Row],[Provider]] = "-", "", tblInputSheet[[#This Row],[Provider]]), "")</f>
        <v>Key-Claims Adjudication</v>
      </c>
      <c r="G28" s="9" t="str">
        <f>IFERROR(IF(tblInputSheet[[#This Row],[Consumer]] = "-", "", tblInputSheet[[#This Row],[Consumer]]), "")</f>
        <v>Key-Claims Adjudication</v>
      </c>
      <c r="H28" s="9" t="str">
        <f>IFERROR(IF(tblInputSheet[[#This Row],[Integration Pattern]] = "-", "", tblInputSheet[[#This Row],[Integration Pattern]]), "")</f>
        <v>PCF Internal (C-to-C)</v>
      </c>
      <c r="I28" s="9" t="str">
        <f>IFERROR(IF(tblInputSheet[[#This Row],[Current State]] = "-", "", tblInputSheet[[#This Row],[Current State]]), "")</f>
        <v>Y</v>
      </c>
      <c r="J28" s="9" t="str">
        <f>IFERROR(IF(tblInputSheet[[#This Row],[End State]] = "-", "", tblInputSheet[[#This Row],[End State]]), "")</f>
        <v>Y</v>
      </c>
      <c r="K28" s="9" t="str">
        <f>IFERROR(IF(tblInputSheet[[#This Row],[MVP]] = "-", "", tblInputSheet[[#This Row],[MVP]]), "")</f>
        <v>Y</v>
      </c>
      <c r="L28" s="8">
        <f>IFERROR(IF(tblInputSheet[[#This Row],[Count of Invocations]] = "", "", tblInputSheet[[#This Row],[Count of Invocations]]), "")</f>
        <v>1</v>
      </c>
      <c r="M28" s="18">
        <f>IFERROR(IF(tblInputSheet[[#This Row],[DB Calls (ms)]] = "", "", tblInputSheet[[#This Row],[DB Calls (ms)]]), "")</f>
        <v>1</v>
      </c>
      <c r="N28" s="18">
        <f>IFERROR(IF(tblInputSheet[[#This Row],[Logic (ms)]] = "", "", tblInputSheet[[#This Row],[Logic (ms)]]), "")</f>
        <v>20</v>
      </c>
      <c r="O28" s="18">
        <f>IFERROR(IF(tblInputSheet[[#This Row],[Rules (ms)]] = "", "", tblInputSheet[[#This Row],[Rules (ms)]]), "")</f>
        <v>0</v>
      </c>
      <c r="P28" s="18">
        <f>IFERROR(IF(tblInputSheet[[#This Row],[Latency (ms)]] = "", "", tblInputSheet[[#This Row],[Latency (ms)]]), "")</f>
        <v>5</v>
      </c>
      <c r="Q28" s="8">
        <f>IFERROR(SUM(tblDisplaySheet2[[#This Row],[DB Calls (ms)]:[Latency (ms)]]), "")</f>
        <v>26</v>
      </c>
      <c r="R28" s="8">
        <f>IFERROR(tblDisplaySheet[[#This Row],[Total Process Time]], "")</f>
        <v>26</v>
      </c>
      <c r="S28" s="8">
        <f>IFERROR(tblDisplaySheet[[#This Row],[Total Process Path Length]], "")</f>
        <v>740</v>
      </c>
      <c r="T28" s="8">
        <f>IFERROR(tblDisplaySheet[[#This Row],[Process NFR]], "")</f>
        <v>30</v>
      </c>
      <c r="U28" s="8">
        <f>IFERROR(tblDisplaySheet[[#This Row],[Total Process NFR]], "")</f>
        <v>30</v>
      </c>
      <c r="V28" s="8">
        <f>IFERROR(tblDisplaySheet[[#This Row],[Total Process Path Length NFR]], "")</f>
        <v>835</v>
      </c>
      <c r="W28" s="8">
        <f>IFERROR(tblDisplaySheet[[#This Row],[Difference]], "")</f>
        <v>95</v>
      </c>
      <c r="X28" s="8" t="str">
        <f>IFERROR(tblDisplaySheet[[#This Row],[Status]], "")</f>
        <v>On Target</v>
      </c>
      <c r="Y28" s="24" t="str">
        <f>IFERROR(tblDisplaySheet[[#This Row],[Is Leaf?]], "")</f>
        <v>N</v>
      </c>
      <c r="Z28" s="24" t="str">
        <f>IFERROR(IF(tblInputSheet[[#This Row],[Owner]] = "", "", tblInputSheet[[#This Row],[Owner]]), "")</f>
        <v>Sankar</v>
      </c>
      <c r="AA28" s="24" t="str">
        <f>IFERROR(IF(tblInputSheet[[#This Row],[Notes]] = "", "", tblInputSheet[[#This Row],[Notes]]), "")</f>
        <v/>
      </c>
    </row>
    <row r="29" spans="1:27" hidden="1" x14ac:dyDescent="0.25">
      <c r="A29" s="9">
        <f>IFERROR(IF(tblInputSheet[[#This Row],[Level]] = "", "", tblInputSheet[[#This Row],[Level]]), "")</f>
        <v>9</v>
      </c>
      <c r="B29" s="9">
        <f>IFERROR(IF(tblInputSheet[[#This Row],[Sl.No]] = "", "", tblInputSheet[[#This Row],[Sl.No]]), "")</f>
        <v>27</v>
      </c>
      <c r="C29" s="9" t="str">
        <f>IFERROR(IF(tblInputSheet[[#This Row],[Group]] = "", "", tblInputSheet[[#This Row],[Group]]), "")</f>
        <v>Service Level - BD</v>
      </c>
      <c r="D29" s="9" t="str">
        <f>IFERROR(IF(tblInputSheet[[#This Row],[Process]] = "", "", REPT("*",Demo!$A29)&amp;""&amp;tblInputSheet[[#This Row],[Process]]), "")</f>
        <v>*********Contract API</v>
      </c>
      <c r="E29" s="9" t="str">
        <f>IFERROR(IF(tblInputSheet[[#This Row],[Hosted Platform]] = "", "", tblInputSheet[[#This Row],[Hosted Platform]]), "")</f>
        <v>PCF</v>
      </c>
      <c r="F29" s="9" t="str">
        <f>IFERROR(IF(tblInputSheet[[#This Row],[Provider]] = "-", "", tblInputSheet[[#This Row],[Provider]]), "")</f>
        <v>Key-Claims Adjudication</v>
      </c>
      <c r="G29" s="9" t="str">
        <f>IFERROR(IF(tblInputSheet[[#This Row],[Consumer]] = "-", "", tblInputSheet[[#This Row],[Consumer]]), "")</f>
        <v>Key-Claims Adjudication</v>
      </c>
      <c r="H29" s="9" t="str">
        <f>IFERROR(IF(tblInputSheet[[#This Row],[Integration Pattern]] = "-", "", tblInputSheet[[#This Row],[Integration Pattern]]), "")</f>
        <v>PCF Internal (C-to-C)</v>
      </c>
      <c r="I29" s="9" t="str">
        <f>IFERROR(IF(tblInputSheet[[#This Row],[Current State]] = "-", "", tblInputSheet[[#This Row],[Current State]]), "")</f>
        <v>Y</v>
      </c>
      <c r="J29" s="9" t="str">
        <f>IFERROR(IF(tblInputSheet[[#This Row],[End State]] = "-", "", tblInputSheet[[#This Row],[End State]]), "")</f>
        <v>Y</v>
      </c>
      <c r="K29" s="9" t="str">
        <f>IFERROR(IF(tblInputSheet[[#This Row],[MVP]] = "-", "", tblInputSheet[[#This Row],[MVP]]), "")</f>
        <v>Y</v>
      </c>
      <c r="L29" s="8">
        <f>IFERROR(IF(tblInputSheet[[#This Row],[Count of Invocations]] = "", "", tblInputSheet[[#This Row],[Count of Invocations]]), "")</f>
        <v>1</v>
      </c>
      <c r="M29" s="18">
        <f>IFERROR(IF(tblInputSheet[[#This Row],[DB Calls (ms)]] = "", "", tblInputSheet[[#This Row],[DB Calls (ms)]]), "")</f>
        <v>5</v>
      </c>
      <c r="N29" s="18">
        <f>IFERROR(IF(tblInputSheet[[#This Row],[Logic (ms)]] = "", "", tblInputSheet[[#This Row],[Logic (ms)]]), "")</f>
        <v>30</v>
      </c>
      <c r="O29" s="18">
        <f>IFERROR(IF(tblInputSheet[[#This Row],[Rules (ms)]] = "", "", tblInputSheet[[#This Row],[Rules (ms)]]), "")</f>
        <v>0</v>
      </c>
      <c r="P29" s="18">
        <f>IFERROR(IF(tblInputSheet[[#This Row],[Latency (ms)]] = "", "", tblInputSheet[[#This Row],[Latency (ms)]]), "")</f>
        <v>10</v>
      </c>
      <c r="Q29" s="8">
        <f>IFERROR(SUM(tblDisplaySheet2[[#This Row],[DB Calls (ms)]:[Latency (ms)]]), "")</f>
        <v>45</v>
      </c>
      <c r="R29" s="8">
        <f>IFERROR(tblDisplaySheet[[#This Row],[Total Process Time]], "")</f>
        <v>45</v>
      </c>
      <c r="S29" s="8">
        <f>IFERROR(tblDisplaySheet[[#This Row],[Total Process Path Length]], "")</f>
        <v>45</v>
      </c>
      <c r="T29" s="8">
        <f>IFERROR(tblDisplaySheet[[#This Row],[Process NFR]], "")</f>
        <v>50</v>
      </c>
      <c r="U29" s="8">
        <f>IFERROR(tblDisplaySheet[[#This Row],[Total Process NFR]], "")</f>
        <v>50</v>
      </c>
      <c r="V29" s="8">
        <f>IFERROR(tblDisplaySheet[[#This Row],[Total Process Path Length NFR]], "")</f>
        <v>50</v>
      </c>
      <c r="W29" s="8">
        <f>IFERROR(tblDisplaySheet[[#This Row],[Difference]], "")</f>
        <v>5</v>
      </c>
      <c r="X29" s="8" t="str">
        <f>IFERROR(tblDisplaySheet[[#This Row],[Status]], "")</f>
        <v>On Target</v>
      </c>
      <c r="Y29" s="24" t="str">
        <f>IFERROR(tblDisplaySheet[[#This Row],[Is Leaf?]], "")</f>
        <v>Y</v>
      </c>
      <c r="Z29" s="24" t="str">
        <f>IFERROR(IF(tblInputSheet[[#This Row],[Owner]] = "", "", tblInputSheet[[#This Row],[Owner]]), "")</f>
        <v>Greg</v>
      </c>
      <c r="AA29" s="24" t="str">
        <f>IFERROR(IF(tblInputSheet[[#This Row],[Notes]] = "", "", tblInputSheet[[#This Row],[Notes]]), "")</f>
        <v/>
      </c>
    </row>
    <row r="30" spans="1:27" hidden="1" x14ac:dyDescent="0.25">
      <c r="A30" s="9">
        <f>IFERROR(IF(tblInputSheet[[#This Row],[Level]] = "", "", tblInputSheet[[#This Row],[Level]]), "")</f>
        <v>9</v>
      </c>
      <c r="B30" s="9">
        <f>IFERROR(IF(tblInputSheet[[#This Row],[Sl.No]] = "", "", tblInputSheet[[#This Row],[Sl.No]]), "")</f>
        <v>28</v>
      </c>
      <c r="C30" s="9" t="str">
        <f>IFERROR(IF(tblInputSheet[[#This Row],[Group]] = "", "", tblInputSheet[[#This Row],[Group]]), "")</f>
        <v>Service Level - BD</v>
      </c>
      <c r="D30" s="9" t="str">
        <f>IFERROR(IF(tblInputSheet[[#This Row],[Process]] = "", "", REPT("*",Demo!$A30)&amp;""&amp;tblInputSheet[[#This Row],[Process]]), "")</f>
        <v>*********Medical Policy Check Service</v>
      </c>
      <c r="E30" s="9" t="str">
        <f>IFERROR(IF(tblInputSheet[[#This Row],[Hosted Platform]] = "", "", tblInputSheet[[#This Row],[Hosted Platform]]), "")</f>
        <v>PCF</v>
      </c>
      <c r="F30" s="9" t="str">
        <f>IFERROR(IF(tblInputSheet[[#This Row],[Provider]] = "-", "", tblInputSheet[[#This Row],[Provider]]), "")</f>
        <v>Key-Claims Adjudication</v>
      </c>
      <c r="G30" s="9" t="str">
        <f>IFERROR(IF(tblInputSheet[[#This Row],[Consumer]] = "-", "", tblInputSheet[[#This Row],[Consumer]]), "")</f>
        <v>Key-Claims Adjudication</v>
      </c>
      <c r="H30" s="9" t="str">
        <f>IFERROR(IF(tblInputSheet[[#This Row],[Integration Pattern]] = "-", "", tblInputSheet[[#This Row],[Integration Pattern]]), "")</f>
        <v>REST Service - ESB</v>
      </c>
      <c r="I30" s="9" t="str">
        <f>IFERROR(IF(tblInputSheet[[#This Row],[Current State]] = "-", "", tblInputSheet[[#This Row],[Current State]]), "")</f>
        <v>Y</v>
      </c>
      <c r="J30" s="9" t="str">
        <f>IFERROR(IF(tblInputSheet[[#This Row],[End State]] = "-", "", tblInputSheet[[#This Row],[End State]]), "")</f>
        <v>Y</v>
      </c>
      <c r="K30" s="9" t="str">
        <f>IFERROR(IF(tblInputSheet[[#This Row],[MVP]] = "-", "", tblInputSheet[[#This Row],[MVP]]), "")</f>
        <v>Y</v>
      </c>
      <c r="L30" s="8">
        <f>IFERROR(IF(tblInputSheet[[#This Row],[Count of Invocations]] = "", "", tblInputSheet[[#This Row],[Count of Invocations]]), "")</f>
        <v>1</v>
      </c>
      <c r="M30" s="18">
        <f>IFERROR(IF(tblInputSheet[[#This Row],[DB Calls (ms)]] = "", "", tblInputSheet[[#This Row],[DB Calls (ms)]]), "")</f>
        <v>0</v>
      </c>
      <c r="N30" s="18">
        <f>IFERROR(IF(tblInputSheet[[#This Row],[Logic (ms)]] = "", "", tblInputSheet[[#This Row],[Logic (ms)]]), "")</f>
        <v>2</v>
      </c>
      <c r="O30" s="18">
        <f>IFERROR(IF(tblInputSheet[[#This Row],[Rules (ms)]] = "", "", tblInputSheet[[#This Row],[Rules (ms)]]), "")</f>
        <v>0</v>
      </c>
      <c r="P30" s="18">
        <f>IFERROR(IF(tblInputSheet[[#This Row],[Latency (ms)]] = "", "", tblInputSheet[[#This Row],[Latency (ms)]]), "")</f>
        <v>10</v>
      </c>
      <c r="Q30" s="8">
        <f>IFERROR(SUM(tblDisplaySheet2[[#This Row],[DB Calls (ms)]:[Latency (ms)]]), "")</f>
        <v>12</v>
      </c>
      <c r="R30" s="8">
        <f>IFERROR(tblDisplaySheet[[#This Row],[Total Process Time]], "")</f>
        <v>12</v>
      </c>
      <c r="S30" s="8">
        <f>IFERROR(tblDisplaySheet[[#This Row],[Total Process Path Length]], "")</f>
        <v>107</v>
      </c>
      <c r="T30" s="8">
        <f>IFERROR(tblDisplaySheet[[#This Row],[Process NFR]], "")</f>
        <v>15</v>
      </c>
      <c r="U30" s="8">
        <f>IFERROR(tblDisplaySheet[[#This Row],[Total Process NFR]], "")</f>
        <v>15</v>
      </c>
      <c r="V30" s="8">
        <f>IFERROR(tblDisplaySheet[[#This Row],[Total Process Path Length NFR]], "")</f>
        <v>120</v>
      </c>
      <c r="W30" s="8">
        <f>IFERROR(tblDisplaySheet[[#This Row],[Difference]], "")</f>
        <v>13</v>
      </c>
      <c r="X30" s="8" t="str">
        <f>IFERROR(tblDisplaySheet[[#This Row],[Status]], "")</f>
        <v>On Target</v>
      </c>
      <c r="Y30" s="24" t="str">
        <f>IFERROR(tblDisplaySheet[[#This Row],[Is Leaf?]], "")</f>
        <v>N</v>
      </c>
      <c r="Z30" s="24" t="str">
        <f>IFERROR(IF(tblInputSheet[[#This Row],[Owner]] = "", "", tblInputSheet[[#This Row],[Owner]]), "")</f>
        <v>Sankar</v>
      </c>
      <c r="AA30" s="24" t="str">
        <f>IFERROR(IF(tblInputSheet[[#This Row],[Notes]] = "", "", tblInputSheet[[#This Row],[Notes]]), "")</f>
        <v/>
      </c>
    </row>
    <row r="31" spans="1:27" hidden="1" x14ac:dyDescent="0.25">
      <c r="A31" s="9">
        <f>IFERROR(IF(tblInputSheet[[#This Row],[Level]] = "", "", tblInputSheet[[#This Row],[Level]]), "")</f>
        <v>10</v>
      </c>
      <c r="B31" s="9">
        <f>IFERROR(IF(tblInputSheet[[#This Row],[Sl.No]] = "", "", tblInputSheet[[#This Row],[Sl.No]]), "")</f>
        <v>29</v>
      </c>
      <c r="C31" s="9" t="str">
        <f>IFERROR(IF(tblInputSheet[[#This Row],[Group]] = "", "", tblInputSheet[[#This Row],[Group]]), "")</f>
        <v>Service Level - BD</v>
      </c>
      <c r="D31" s="9" t="str">
        <f>IFERROR(IF(tblInputSheet[[#This Row],[Process]] = "", "", REPT("*",Demo!$A31)&amp;""&amp;tblInputSheet[[#This Row],[Process]]), "")</f>
        <v>**********Medical Policy Mule Adapter</v>
      </c>
      <c r="E31" s="9" t="str">
        <f>IFERROR(IF(tblInputSheet[[#This Row],[Hosted Platform]] = "", "", tblInputSheet[[#This Row],[Hosted Platform]]), "")</f>
        <v>Mule ESB</v>
      </c>
      <c r="F31" s="9" t="str">
        <f>IFERROR(IF(tblInputSheet[[#This Row],[Provider]] = "-", "", tblInputSheet[[#This Row],[Provider]]), "")</f>
        <v>Key-Claims Adjudication</v>
      </c>
      <c r="G31" s="9" t="str">
        <f>IFERROR(IF(tblInputSheet[[#This Row],[Consumer]] = "-", "", tblInputSheet[[#This Row],[Consumer]]), "")</f>
        <v>Key-Claims Adjudication</v>
      </c>
      <c r="H31" s="9" t="str">
        <f>IFERROR(IF(tblInputSheet[[#This Row],[Integration Pattern]] = "-", "", tblInputSheet[[#This Row],[Integration Pattern]]), "")</f>
        <v>ESB - MQ Integration</v>
      </c>
      <c r="I31" s="9" t="str">
        <f>IFERROR(IF(tblInputSheet[[#This Row],[Current State]] = "-", "", tblInputSheet[[#This Row],[Current State]]), "")</f>
        <v>Y</v>
      </c>
      <c r="J31" s="9" t="str">
        <f>IFERROR(IF(tblInputSheet[[#This Row],[End State]] = "-", "", tblInputSheet[[#This Row],[End State]]), "")</f>
        <v>N</v>
      </c>
      <c r="K31" s="9" t="str">
        <f>IFERROR(IF(tblInputSheet[[#This Row],[MVP]] = "-", "", tblInputSheet[[#This Row],[MVP]]), "")</f>
        <v>Y</v>
      </c>
      <c r="L31" s="8">
        <f>IFERROR(IF(tblInputSheet[[#This Row],[Count of Invocations]] = "", "", tblInputSheet[[#This Row],[Count of Invocations]]), "")</f>
        <v>1</v>
      </c>
      <c r="M31" s="18">
        <f>IFERROR(IF(tblInputSheet[[#This Row],[DB Calls (ms)]] = "", "", tblInputSheet[[#This Row],[DB Calls (ms)]]), "")</f>
        <v>0</v>
      </c>
      <c r="N31" s="18">
        <f>IFERROR(IF(tblInputSheet[[#This Row],[Logic (ms)]] = "", "", tblInputSheet[[#This Row],[Logic (ms)]]), "")</f>
        <v>45</v>
      </c>
      <c r="O31" s="18">
        <f>IFERROR(IF(tblInputSheet[[#This Row],[Rules (ms)]] = "", "", tblInputSheet[[#This Row],[Rules (ms)]]), "")</f>
        <v>0</v>
      </c>
      <c r="P31" s="18">
        <f>IFERROR(IF(tblInputSheet[[#This Row],[Latency (ms)]] = "", "", tblInputSheet[[#This Row],[Latency (ms)]]), "")</f>
        <v>30</v>
      </c>
      <c r="Q31" s="8">
        <f>IFERROR(SUM(tblDisplaySheet2[[#This Row],[DB Calls (ms)]:[Latency (ms)]]), "")</f>
        <v>75</v>
      </c>
      <c r="R31" s="8">
        <f>IFERROR(tblDisplaySheet[[#This Row],[Total Process Time]], "")</f>
        <v>75</v>
      </c>
      <c r="S31" s="8">
        <f>IFERROR(tblDisplaySheet[[#This Row],[Total Process Path Length]], "")</f>
        <v>95</v>
      </c>
      <c r="T31" s="8">
        <f>IFERROR(tblDisplaySheet[[#This Row],[Process NFR]], "")</f>
        <v>75</v>
      </c>
      <c r="U31" s="8">
        <f>IFERROR(tblDisplaySheet[[#This Row],[Total Process NFR]], "")</f>
        <v>75</v>
      </c>
      <c r="V31" s="8">
        <f>IFERROR(tblDisplaySheet[[#This Row],[Total Process Path Length NFR]], "")</f>
        <v>105</v>
      </c>
      <c r="W31" s="8">
        <f>IFERROR(tblDisplaySheet[[#This Row],[Difference]], "")</f>
        <v>10</v>
      </c>
      <c r="X31" s="8" t="str">
        <f>IFERROR(tblDisplaySheet[[#This Row],[Status]], "")</f>
        <v>On Target</v>
      </c>
      <c r="Y31" s="24" t="str">
        <f>IFERROR(tblDisplaySheet[[#This Row],[Is Leaf?]], "")</f>
        <v>N</v>
      </c>
      <c r="Z31" s="24" t="str">
        <f>IFERROR(IF(tblInputSheet[[#This Row],[Owner]] = "", "", tblInputSheet[[#This Row],[Owner]]), "")</f>
        <v>Sankar</v>
      </c>
      <c r="AA31" s="24" t="str">
        <f>IFERROR(IF(tblInputSheet[[#This Row],[Notes]] = "", "", tblInputSheet[[#This Row],[Notes]]), "")</f>
        <v/>
      </c>
    </row>
    <row r="32" spans="1:27" hidden="1" x14ac:dyDescent="0.25">
      <c r="A32" s="9">
        <f>IFERROR(IF(tblInputSheet[[#This Row],[Level]] = "", "", tblInputSheet[[#This Row],[Level]]), "")</f>
        <v>11</v>
      </c>
      <c r="B32" s="9">
        <f>IFERROR(IF(tblInputSheet[[#This Row],[Sl.No]] = "", "", tblInputSheet[[#This Row],[Sl.No]]), "")</f>
        <v>30</v>
      </c>
      <c r="C32" s="9" t="str">
        <f>IFERROR(IF(tblInputSheet[[#This Row],[Group]] = "", "", tblInputSheet[[#This Row],[Group]]), "")</f>
        <v>Service Level - BD</v>
      </c>
      <c r="D32" s="9" t="str">
        <f>IFERROR(IF(tblInputSheet[[#This Row],[Process]] = "", "", REPT("*",Demo!$A32)&amp;""&amp;tblInputSheet[[#This Row],[Process]]), "")</f>
        <v>***********Legacy Medical Policy Check</v>
      </c>
      <c r="E32" s="9" t="str">
        <f>IFERROR(IF(tblInputSheet[[#This Row],[Hosted Platform]] = "", "", tblInputSheet[[#This Row],[Hosted Platform]]), "")</f>
        <v>Cross-Portfolio</v>
      </c>
      <c r="F32" s="9" t="str">
        <f>IFERROR(IF(tblInputSheet[[#This Row],[Provider]] = "-", "", tblInputSheet[[#This Row],[Provider]]), "")</f>
        <v>Provider</v>
      </c>
      <c r="G32" s="9" t="str">
        <f>IFERROR(IF(tblInputSheet[[#This Row],[Consumer]] = "-", "", tblInputSheet[[#This Row],[Consumer]]), "")</f>
        <v>Claims-Legacy</v>
      </c>
      <c r="H32" s="9" t="str">
        <f>IFERROR(IF(tblInputSheet[[#This Row],[Integration Pattern]] = "-", "", tblInputSheet[[#This Row],[Integration Pattern]]), "")</f>
        <v>BC Internal</v>
      </c>
      <c r="I32" s="9" t="str">
        <f>IFERROR(IF(tblInputSheet[[#This Row],[Current State]] = "-", "", tblInputSheet[[#This Row],[Current State]]), "")</f>
        <v>Y</v>
      </c>
      <c r="J32" s="9" t="str">
        <f>IFERROR(IF(tblInputSheet[[#This Row],[End State]] = "-", "", tblInputSheet[[#This Row],[End State]]), "")</f>
        <v>N</v>
      </c>
      <c r="K32" s="9" t="str">
        <f>IFERROR(IF(tblInputSheet[[#This Row],[MVP]] = "-", "", tblInputSheet[[#This Row],[MVP]]), "")</f>
        <v>Y</v>
      </c>
      <c r="L32" s="8">
        <f>IFERROR(IF(tblInputSheet[[#This Row],[Count of Invocations]] = "", "", tblInputSheet[[#This Row],[Count of Invocations]]), "")</f>
        <v>1</v>
      </c>
      <c r="M32" s="18">
        <f>IFERROR(IF(tblInputSheet[[#This Row],[DB Calls (ms)]] = "", "", tblInputSheet[[#This Row],[DB Calls (ms)]]), "")</f>
        <v>0</v>
      </c>
      <c r="N32" s="18">
        <f>IFERROR(IF(tblInputSheet[[#This Row],[Logic (ms)]] = "", "", tblInputSheet[[#This Row],[Logic (ms)]]), "")</f>
        <v>20</v>
      </c>
      <c r="O32" s="18">
        <f>IFERROR(IF(tblInputSheet[[#This Row],[Rules (ms)]] = "", "", tblInputSheet[[#This Row],[Rules (ms)]]), "")</f>
        <v>0</v>
      </c>
      <c r="P32" s="18">
        <f>IFERROR(IF(tblInputSheet[[#This Row],[Latency (ms)]] = "", "", tblInputSheet[[#This Row],[Latency (ms)]]), "")</f>
        <v>0</v>
      </c>
      <c r="Q32" s="8">
        <f>IFERROR(SUM(tblDisplaySheet2[[#This Row],[DB Calls (ms)]:[Latency (ms)]]), "")</f>
        <v>20</v>
      </c>
      <c r="R32" s="8">
        <f>IFERROR(tblDisplaySheet[[#This Row],[Total Process Time]], "")</f>
        <v>20</v>
      </c>
      <c r="S32" s="8">
        <f>IFERROR(tblDisplaySheet[[#This Row],[Total Process Path Length]], "")</f>
        <v>20</v>
      </c>
      <c r="T32" s="8">
        <f>IFERROR(tblDisplaySheet[[#This Row],[Process NFR]], "")</f>
        <v>30</v>
      </c>
      <c r="U32" s="8">
        <f>IFERROR(tblDisplaySheet[[#This Row],[Total Process NFR]], "")</f>
        <v>30</v>
      </c>
      <c r="V32" s="8">
        <f>IFERROR(tblDisplaySheet[[#This Row],[Total Process Path Length NFR]], "")</f>
        <v>30</v>
      </c>
      <c r="W32" s="8">
        <f>IFERROR(tblDisplaySheet[[#This Row],[Difference]], "")</f>
        <v>10</v>
      </c>
      <c r="X32" s="8" t="str">
        <f>IFERROR(tblDisplaySheet[[#This Row],[Status]], "")</f>
        <v>On Target</v>
      </c>
      <c r="Y32" s="24" t="str">
        <f>IFERROR(tblDisplaySheet[[#This Row],[Is Leaf?]], "")</f>
        <v>Y</v>
      </c>
      <c r="Z32" s="24" t="str">
        <f>IFERROR(IF(tblInputSheet[[#This Row],[Owner]] = "", "", tblInputSheet[[#This Row],[Owner]]), "")</f>
        <v>Sankar</v>
      </c>
      <c r="AA32" s="24" t="str">
        <f>IFERROR(IF(tblInputSheet[[#This Row],[Notes]] = "", "", tblInputSheet[[#This Row],[Notes]]), "")</f>
        <v/>
      </c>
    </row>
    <row r="33" spans="1:27" hidden="1" x14ac:dyDescent="0.25">
      <c r="A33" s="9">
        <f>IFERROR(IF(tblInputSheet[[#This Row],[Level]] = "", "", tblInputSheet[[#This Row],[Level]]), "")</f>
        <v>9</v>
      </c>
      <c r="B33" s="9">
        <f>IFERROR(IF(tblInputSheet[[#This Row],[Sl.No]] = "", "", tblInputSheet[[#This Row],[Sl.No]]), "")</f>
        <v>31</v>
      </c>
      <c r="C33" s="9" t="str">
        <f>IFERROR(IF(tblInputSheet[[#This Row],[Group]] = "", "", tblInputSheet[[#This Row],[Group]]), "")</f>
        <v>Service Level - BD</v>
      </c>
      <c r="D33" s="9" t="str">
        <f>IFERROR(IF(tblInputSheet[[#This Row],[Process]] = "", "", REPT("*",Demo!$A33)&amp;""&amp;tblInputSheet[[#This Row],[Process]]), "")</f>
        <v>*********DME Event Validation Service</v>
      </c>
      <c r="E33" s="9" t="str">
        <f>IFERROR(IF(tblInputSheet[[#This Row],[Hosted Platform]] = "", "", tblInputSheet[[#This Row],[Hosted Platform]]), "")</f>
        <v>PCF</v>
      </c>
      <c r="F33" s="9" t="str">
        <f>IFERROR(IF(tblInputSheet[[#This Row],[Provider]] = "-", "", tblInputSheet[[#This Row],[Provider]]), "")</f>
        <v>Key-Claims Adjudication</v>
      </c>
      <c r="G33" s="9" t="str">
        <f>IFERROR(IF(tblInputSheet[[#This Row],[Consumer]] = "-", "", tblInputSheet[[#This Row],[Consumer]]), "")</f>
        <v>Key-Claims Adjudication</v>
      </c>
      <c r="H33" s="9" t="str">
        <f>IFERROR(IF(tblInputSheet[[#This Row],[Integration Pattern]] = "-", "", tblInputSheet[[#This Row],[Integration Pattern]]), "")</f>
        <v>PCF Internal (C-to-C)</v>
      </c>
      <c r="I33" s="9" t="str">
        <f>IFERROR(IF(tblInputSheet[[#This Row],[Current State]] = "-", "", tblInputSheet[[#This Row],[Current State]]), "")</f>
        <v>Y</v>
      </c>
      <c r="J33" s="9" t="str">
        <f>IFERROR(IF(tblInputSheet[[#This Row],[End State]] = "-", "", tblInputSheet[[#This Row],[End State]]), "")</f>
        <v>Y</v>
      </c>
      <c r="K33" s="9" t="str">
        <f>IFERROR(IF(tblInputSheet[[#This Row],[MVP]] = "-", "", tblInputSheet[[#This Row],[MVP]]), "")</f>
        <v>Y</v>
      </c>
      <c r="L33" s="8">
        <f>IFERROR(IF(tblInputSheet[[#This Row],[Count of Invocations]] = "", "", tblInputSheet[[#This Row],[Count of Invocations]]), "")</f>
        <v>0</v>
      </c>
      <c r="M33" s="18">
        <f>IFERROR(IF(tblInputSheet[[#This Row],[DB Calls (ms)]] = "", "", tblInputSheet[[#This Row],[DB Calls (ms)]]), "")</f>
        <v>0</v>
      </c>
      <c r="N33" s="18">
        <f>IFERROR(IF(tblInputSheet[[#This Row],[Logic (ms)]] = "", "", tblInputSheet[[#This Row],[Logic (ms)]]), "")</f>
        <v>20</v>
      </c>
      <c r="O33" s="18">
        <f>IFERROR(IF(tblInputSheet[[#This Row],[Rules (ms)]] = "", "", tblInputSheet[[#This Row],[Rules (ms)]]), "")</f>
        <v>0</v>
      </c>
      <c r="P33" s="18">
        <f>IFERROR(IF(tblInputSheet[[#This Row],[Latency (ms)]] = "", "", tblInputSheet[[#This Row],[Latency (ms)]]), "")</f>
        <v>15</v>
      </c>
      <c r="Q33" s="8">
        <f>IFERROR(SUM(tblDisplaySheet2[[#This Row],[DB Calls (ms)]:[Latency (ms)]]), "")</f>
        <v>35</v>
      </c>
      <c r="R33" s="8">
        <f>IFERROR(tblDisplaySheet[[#This Row],[Total Process Time]], "")</f>
        <v>0</v>
      </c>
      <c r="S33" s="8">
        <f>IFERROR(tblDisplaySheet[[#This Row],[Total Process Path Length]], "")</f>
        <v>0</v>
      </c>
      <c r="T33" s="8">
        <f>IFERROR(tblDisplaySheet[[#This Row],[Process NFR]], "")</f>
        <v>50</v>
      </c>
      <c r="U33" s="8">
        <f>IFERROR(tblDisplaySheet[[#This Row],[Total Process NFR]], "")</f>
        <v>0</v>
      </c>
      <c r="V33" s="8">
        <f>IFERROR(tblDisplaySheet[[#This Row],[Total Process Path Length NFR]], "")</f>
        <v>0</v>
      </c>
      <c r="W33" s="8">
        <f>IFERROR(tblDisplaySheet[[#This Row],[Difference]], "")</f>
        <v>0</v>
      </c>
      <c r="X33" s="8" t="str">
        <f>IFERROR(tblDisplaySheet[[#This Row],[Status]], "")</f>
        <v>On Target</v>
      </c>
      <c r="Y33" s="24" t="str">
        <f>IFERROR(tblDisplaySheet[[#This Row],[Is Leaf?]], "")</f>
        <v>Y</v>
      </c>
      <c r="Z33" s="24" t="str">
        <f>IFERROR(IF(tblInputSheet[[#This Row],[Owner]] = "", "", tblInputSheet[[#This Row],[Owner]]), "")</f>
        <v>Sankar</v>
      </c>
      <c r="AA33" s="24" t="str">
        <f>IFERROR(IF(tblInputSheet[[#This Row],[Notes]] = "", "", tblInputSheet[[#This Row],[Notes]]), "")</f>
        <v/>
      </c>
    </row>
    <row r="34" spans="1:27" hidden="1" x14ac:dyDescent="0.25">
      <c r="A34" s="9">
        <f>IFERROR(IF(tblInputSheet[[#This Row],[Level]] = "", "", tblInputSheet[[#This Row],[Level]]), "")</f>
        <v>9</v>
      </c>
      <c r="B34" s="9">
        <f>IFERROR(IF(tblInputSheet[[#This Row],[Sl.No]] = "", "", tblInputSheet[[#This Row],[Sl.No]]), "")</f>
        <v>32</v>
      </c>
      <c r="C34" s="9" t="str">
        <f>IFERROR(IF(tblInputSheet[[#This Row],[Group]] = "", "", tblInputSheet[[#This Row],[Group]]), "")</f>
        <v>Service Level - BD</v>
      </c>
      <c r="D34" s="9" t="str">
        <f>IFERROR(IF(tblInputSheet[[#This Row],[Process]] = "", "", REPT("*",Demo!$A34)&amp;""&amp;tblInputSheet[[#This Row],[Process]]), "")</f>
        <v>*********NPI Crosswalk Service</v>
      </c>
      <c r="E34" s="9" t="str">
        <f>IFERROR(IF(tblInputSheet[[#This Row],[Hosted Platform]] = "", "", tblInputSheet[[#This Row],[Hosted Platform]]), "")</f>
        <v>Cross-Portfolio</v>
      </c>
      <c r="F34" s="9" t="str">
        <f>IFERROR(IF(tblInputSheet[[#This Row],[Provider]] = "-", "", tblInputSheet[[#This Row],[Provider]]), "")</f>
        <v>Provider</v>
      </c>
      <c r="G34" s="9" t="str">
        <f>IFERROR(IF(tblInputSheet[[#This Row],[Consumer]] = "-", "", tblInputSheet[[#This Row],[Consumer]]), "")</f>
        <v>Key-Claims Adjudication</v>
      </c>
      <c r="H34" s="9" t="str">
        <f>IFERROR(IF(tblInputSheet[[#This Row],[Integration Pattern]] = "-", "", tblInputSheet[[#This Row],[Integration Pattern]]), "")</f>
        <v>REST Service - SOAP Service</v>
      </c>
      <c r="I34" s="9" t="str">
        <f>IFERROR(IF(tblInputSheet[[#This Row],[Current State]] = "-", "", tblInputSheet[[#This Row],[Current State]]), "")</f>
        <v>Y</v>
      </c>
      <c r="J34" s="9" t="str">
        <f>IFERROR(IF(tblInputSheet[[#This Row],[End State]] = "-", "", tblInputSheet[[#This Row],[End State]]), "")</f>
        <v>Y</v>
      </c>
      <c r="K34" s="9" t="str">
        <f>IFERROR(IF(tblInputSheet[[#This Row],[MVP]] = "-", "", tblInputSheet[[#This Row],[MVP]]), "")</f>
        <v>Y</v>
      </c>
      <c r="L34" s="8">
        <f>IFERROR(IF(tblInputSheet[[#This Row],[Count of Invocations]] = "", "", tblInputSheet[[#This Row],[Count of Invocations]]), "")</f>
        <v>1</v>
      </c>
      <c r="M34" s="18">
        <f>IFERROR(IF(tblInputSheet[[#This Row],[DB Calls (ms)]] = "", "", tblInputSheet[[#This Row],[DB Calls (ms)]]), "")</f>
        <v>1</v>
      </c>
      <c r="N34" s="18">
        <f>IFERROR(IF(tblInputSheet[[#This Row],[Logic (ms)]] = "", "", tblInputSheet[[#This Row],[Logic (ms)]]), "")</f>
        <v>40</v>
      </c>
      <c r="O34" s="18">
        <f>IFERROR(IF(tblInputSheet[[#This Row],[Rules (ms)]] = "", "", tblInputSheet[[#This Row],[Rules (ms)]]), "")</f>
        <v>0</v>
      </c>
      <c r="P34" s="18">
        <f>IFERROR(IF(tblInputSheet[[#This Row],[Latency (ms)]] = "", "", tblInputSheet[[#This Row],[Latency (ms)]]), "")</f>
        <v>15</v>
      </c>
      <c r="Q34" s="8">
        <f>IFERROR(SUM(tblDisplaySheet2[[#This Row],[DB Calls (ms)]:[Latency (ms)]]), "")</f>
        <v>56</v>
      </c>
      <c r="R34" s="8">
        <f>IFERROR(tblDisplaySheet[[#This Row],[Total Process Time]], "")</f>
        <v>56</v>
      </c>
      <c r="S34" s="8">
        <f>IFERROR(tblDisplaySheet[[#This Row],[Total Process Path Length]], "")</f>
        <v>56</v>
      </c>
      <c r="T34" s="8">
        <f>IFERROR(tblDisplaySheet[[#This Row],[Process NFR]], "")</f>
        <v>65</v>
      </c>
      <c r="U34" s="8">
        <f>IFERROR(tblDisplaySheet[[#This Row],[Total Process NFR]], "")</f>
        <v>65</v>
      </c>
      <c r="V34" s="8">
        <f>IFERROR(tblDisplaySheet[[#This Row],[Total Process Path Length NFR]], "")</f>
        <v>65</v>
      </c>
      <c r="W34" s="8">
        <f>IFERROR(tblDisplaySheet[[#This Row],[Difference]], "")</f>
        <v>9</v>
      </c>
      <c r="X34" s="8" t="str">
        <f>IFERROR(tblDisplaySheet[[#This Row],[Status]], "")</f>
        <v>On Target</v>
      </c>
      <c r="Y34" s="24" t="str">
        <f>IFERROR(tblDisplaySheet[[#This Row],[Is Leaf?]], "")</f>
        <v>Y</v>
      </c>
      <c r="Z34" s="24" t="str">
        <f>IFERROR(IF(tblInputSheet[[#This Row],[Owner]] = "", "", tblInputSheet[[#This Row],[Owner]]), "")</f>
        <v>Sankar</v>
      </c>
      <c r="AA34" s="24" t="str">
        <f>IFERROR(IF(tblInputSheet[[#This Row],[Notes]] = "", "", tblInputSheet[[#This Row],[Notes]]), "")</f>
        <v/>
      </c>
    </row>
    <row r="35" spans="1:27" hidden="1" x14ac:dyDescent="0.25">
      <c r="A35" s="9">
        <f>IFERROR(IF(tblInputSheet[[#This Row],[Level]] = "", "", tblInputSheet[[#This Row],[Level]]), "")</f>
        <v>9</v>
      </c>
      <c r="B35" s="9">
        <f>IFERROR(IF(tblInputSheet[[#This Row],[Sl.No]] = "", "", tblInputSheet[[#This Row],[Sl.No]]), "")</f>
        <v>33</v>
      </c>
      <c r="C35" s="9" t="str">
        <f>IFERROR(IF(tblInputSheet[[#This Row],[Group]] = "", "", tblInputSheet[[#This Row],[Group]]), "")</f>
        <v>Service Level - BD</v>
      </c>
      <c r="D35" s="9" t="str">
        <f>IFERROR(IF(tblInputSheet[[#This Row],[Process]] = "", "", REPT("*",Demo!$A35)&amp;""&amp;tblInputSheet[[#This Row],[Process]]), "")</f>
        <v>*********Claim Provider Service</v>
      </c>
      <c r="E35" s="9" t="str">
        <f>IFERROR(IF(tblInputSheet[[#This Row],[Hosted Platform]] = "", "", tblInputSheet[[#This Row],[Hosted Platform]]), "")</f>
        <v>PCF</v>
      </c>
      <c r="F35" s="9" t="str">
        <f>IFERROR(IF(tblInputSheet[[#This Row],[Provider]] = "-", "", tblInputSheet[[#This Row],[Provider]]), "")</f>
        <v>Key-Claims Adjudication</v>
      </c>
      <c r="G35" s="9" t="str">
        <f>IFERROR(IF(tblInputSheet[[#This Row],[Consumer]] = "-", "", tblInputSheet[[#This Row],[Consumer]]), "")</f>
        <v>Key-Claims Adjudication</v>
      </c>
      <c r="H35" s="9" t="str">
        <f>IFERROR(IF(tblInputSheet[[#This Row],[Integration Pattern]] = "-", "", tblInputSheet[[#This Row],[Integration Pattern]]), "")</f>
        <v>PCF Internal (C-to-C)</v>
      </c>
      <c r="I35" s="9" t="str">
        <f>IFERROR(IF(tblInputSheet[[#This Row],[Current State]] = "-", "", tblInputSheet[[#This Row],[Current State]]), "")</f>
        <v>Y</v>
      </c>
      <c r="J35" s="9" t="str">
        <f>IFERROR(IF(tblInputSheet[[#This Row],[End State]] = "-", "", tblInputSheet[[#This Row],[End State]]), "")</f>
        <v>Y</v>
      </c>
      <c r="K35" s="9" t="str">
        <f>IFERROR(IF(tblInputSheet[[#This Row],[MVP]] = "-", "", tblInputSheet[[#This Row],[MVP]]), "")</f>
        <v>Y</v>
      </c>
      <c r="L35" s="8">
        <f>IFERROR(IF(tblInputSheet[[#This Row],[Count of Invocations]] = "", "", tblInputSheet[[#This Row],[Count of Invocations]]), "")</f>
        <v>1</v>
      </c>
      <c r="M35" s="18">
        <f>IFERROR(IF(tblInputSheet[[#This Row],[DB Calls (ms)]] = "", "", tblInputSheet[[#This Row],[DB Calls (ms)]]), "")</f>
        <v>1</v>
      </c>
      <c r="N35" s="18">
        <f>IFERROR(IF(tblInputSheet[[#This Row],[Logic (ms)]] = "", "", tblInputSheet[[#This Row],[Logic (ms)]]), "")</f>
        <v>40</v>
      </c>
      <c r="O35" s="18">
        <f>IFERROR(IF(tblInputSheet[[#This Row],[Rules (ms)]] = "", "", tblInputSheet[[#This Row],[Rules (ms)]]), "")</f>
        <v>0</v>
      </c>
      <c r="P35" s="18">
        <f>IFERROR(IF(tblInputSheet[[#This Row],[Latency (ms)]] = "", "", tblInputSheet[[#This Row],[Latency (ms)]]), "")</f>
        <v>15</v>
      </c>
      <c r="Q35" s="8">
        <f>IFERROR(SUM(tblDisplaySheet2[[#This Row],[DB Calls (ms)]:[Latency (ms)]]), "")</f>
        <v>56</v>
      </c>
      <c r="R35" s="8">
        <f>IFERROR(tblDisplaySheet[[#This Row],[Total Process Time]], "")</f>
        <v>56</v>
      </c>
      <c r="S35" s="8">
        <f>IFERROR(tblDisplaySheet[[#This Row],[Total Process Path Length]], "")</f>
        <v>56</v>
      </c>
      <c r="T35" s="8">
        <f>IFERROR(tblDisplaySheet[[#This Row],[Process NFR]], "")</f>
        <v>65</v>
      </c>
      <c r="U35" s="8">
        <f>IFERROR(tblDisplaySheet[[#This Row],[Total Process NFR]], "")</f>
        <v>65</v>
      </c>
      <c r="V35" s="8">
        <f>IFERROR(tblDisplaySheet[[#This Row],[Total Process Path Length NFR]], "")</f>
        <v>65</v>
      </c>
      <c r="W35" s="8">
        <f>IFERROR(tblDisplaySheet[[#This Row],[Difference]], "")</f>
        <v>9</v>
      </c>
      <c r="X35" s="8" t="str">
        <f>IFERROR(tblDisplaySheet[[#This Row],[Status]], "")</f>
        <v>On Target</v>
      </c>
      <c r="Y35" s="24" t="str">
        <f>IFERROR(tblDisplaySheet[[#This Row],[Is Leaf?]], "")</f>
        <v>Y</v>
      </c>
      <c r="Z35" s="24" t="str">
        <f>IFERROR(IF(tblInputSheet[[#This Row],[Owner]] = "", "", tblInputSheet[[#This Row],[Owner]]), "")</f>
        <v>Sankar</v>
      </c>
      <c r="AA35" s="24" t="str">
        <f>IFERROR(IF(tblInputSheet[[#This Row],[Notes]] = "", "", tblInputSheet[[#This Row],[Notes]]), "")</f>
        <v/>
      </c>
    </row>
    <row r="36" spans="1:27" hidden="1" x14ac:dyDescent="0.25">
      <c r="A36" s="9">
        <f>IFERROR(IF(tblInputSheet[[#This Row],[Level]] = "", "", tblInputSheet[[#This Row],[Level]]), "")</f>
        <v>9</v>
      </c>
      <c r="B36" s="9">
        <f>IFERROR(IF(tblInputSheet[[#This Row],[Sl.No]] = "", "", tblInputSheet[[#This Row],[Sl.No]]), "")</f>
        <v>34</v>
      </c>
      <c r="C36" s="9" t="str">
        <f>IFERROR(IF(tblInputSheet[[#This Row],[Group]] = "", "", tblInputSheet[[#This Row],[Group]]), "")</f>
        <v>Service Level - BD</v>
      </c>
      <c r="D36" s="9" t="str">
        <f>IFERROR(IF(tblInputSheet[[#This Row],[Process]] = "", "", REPT("*",Demo!$A36)&amp;""&amp;tblInputSheet[[#This Row],[Process]]), "")</f>
        <v>*********Claim Lookup Service(Claim History Service)</v>
      </c>
      <c r="E36" s="9" t="str">
        <f>IFERROR(IF(tblInputSheet[[#This Row],[Hosted Platform]] = "", "", tblInputSheet[[#This Row],[Hosted Platform]]), "")</f>
        <v>PCF</v>
      </c>
      <c r="F36" s="9" t="str">
        <f>IFERROR(IF(tblInputSheet[[#This Row],[Provider]] = "-", "", tblInputSheet[[#This Row],[Provider]]), "")</f>
        <v>Key-Claims Adjudication</v>
      </c>
      <c r="G36" s="9" t="str">
        <f>IFERROR(IF(tblInputSheet[[#This Row],[Consumer]] = "-", "", tblInputSheet[[#This Row],[Consumer]]), "")</f>
        <v>Key-Claims Adjudication</v>
      </c>
      <c r="H36" s="9" t="str">
        <f>IFERROR(IF(tblInputSheet[[#This Row],[Integration Pattern]] = "-", "", tblInputSheet[[#This Row],[Integration Pattern]]), "")</f>
        <v>PCF Internal (C-to-C)</v>
      </c>
      <c r="I36" s="9" t="str">
        <f>IFERROR(IF(tblInputSheet[[#This Row],[Current State]] = "-", "", tblInputSheet[[#This Row],[Current State]]), "")</f>
        <v>Y</v>
      </c>
      <c r="J36" s="9" t="str">
        <f>IFERROR(IF(tblInputSheet[[#This Row],[End State]] = "-", "", tblInputSheet[[#This Row],[End State]]), "")</f>
        <v>Y</v>
      </c>
      <c r="K36" s="9" t="str">
        <f>IFERROR(IF(tblInputSheet[[#This Row],[MVP]] = "-", "", tblInputSheet[[#This Row],[MVP]]), "")</f>
        <v>Y</v>
      </c>
      <c r="L36" s="8">
        <f>IFERROR(IF(tblInputSheet[[#This Row],[Count of Invocations]] = "", "", tblInputSheet[[#This Row],[Count of Invocations]]), "")</f>
        <v>1</v>
      </c>
      <c r="M36" s="18">
        <f>IFERROR(IF(tblInputSheet[[#This Row],[DB Calls (ms)]] = "", "", tblInputSheet[[#This Row],[DB Calls (ms)]]), "")</f>
        <v>1</v>
      </c>
      <c r="N36" s="18">
        <f>IFERROR(IF(tblInputSheet[[#This Row],[Logic (ms)]] = "", "", tblInputSheet[[#This Row],[Logic (ms)]]), "")</f>
        <v>55</v>
      </c>
      <c r="O36" s="18">
        <f>IFERROR(IF(tblInputSheet[[#This Row],[Rules (ms)]] = "", "", tblInputSheet[[#This Row],[Rules (ms)]]), "")</f>
        <v>1</v>
      </c>
      <c r="P36" s="18">
        <f>IFERROR(IF(tblInputSheet[[#This Row],[Latency (ms)]] = "", "", tblInputSheet[[#This Row],[Latency (ms)]]), "")</f>
        <v>15</v>
      </c>
      <c r="Q36" s="8">
        <f>IFERROR(SUM(tblDisplaySheet2[[#This Row],[DB Calls (ms)]:[Latency (ms)]]), "")</f>
        <v>72</v>
      </c>
      <c r="R36" s="8">
        <f>IFERROR(tblDisplaySheet[[#This Row],[Total Process Time]], "")</f>
        <v>72</v>
      </c>
      <c r="S36" s="8">
        <f>IFERROR(tblDisplaySheet[[#This Row],[Total Process Path Length]], "")</f>
        <v>72</v>
      </c>
      <c r="T36" s="8">
        <f>IFERROR(tblDisplaySheet[[#This Row],[Process NFR]], "")</f>
        <v>75</v>
      </c>
      <c r="U36" s="8">
        <f>IFERROR(tblDisplaySheet[[#This Row],[Total Process NFR]], "")</f>
        <v>75</v>
      </c>
      <c r="V36" s="8">
        <f>IFERROR(tblDisplaySheet[[#This Row],[Total Process Path Length NFR]], "")</f>
        <v>75</v>
      </c>
      <c r="W36" s="8">
        <f>IFERROR(tblDisplaySheet[[#This Row],[Difference]], "")</f>
        <v>3</v>
      </c>
      <c r="X36" s="8" t="str">
        <f>IFERROR(tblDisplaySheet[[#This Row],[Status]], "")</f>
        <v>On Target</v>
      </c>
      <c r="Y36" s="24" t="str">
        <f>IFERROR(tblDisplaySheet[[#This Row],[Is Leaf?]], "")</f>
        <v>Y</v>
      </c>
      <c r="Z36" s="24" t="str">
        <f>IFERROR(IF(tblInputSheet[[#This Row],[Owner]] = "", "", tblInputSheet[[#This Row],[Owner]]), "")</f>
        <v>Sankar</v>
      </c>
      <c r="AA36" s="24" t="str">
        <f>IFERROR(IF(tblInputSheet[[#This Row],[Notes]] = "", "", tblInputSheet[[#This Row],[Notes]]), "")</f>
        <v/>
      </c>
    </row>
    <row r="37" spans="1:27" hidden="1" x14ac:dyDescent="0.25">
      <c r="A37" s="9">
        <f>IFERROR(IF(tblInputSheet[[#This Row],[Level]] = "", "", tblInputSheet[[#This Row],[Level]]), "")</f>
        <v>9</v>
      </c>
      <c r="B37" s="9">
        <f>IFERROR(IF(tblInputSheet[[#This Row],[Sl.No]] = "", "", tblInputSheet[[#This Row],[Sl.No]]), "")</f>
        <v>35</v>
      </c>
      <c r="C37" s="9" t="str">
        <f>IFERROR(IF(tblInputSheet[[#This Row],[Group]] = "", "", tblInputSheet[[#This Row],[Group]]), "")</f>
        <v>Service Level - BD</v>
      </c>
      <c r="D37" s="9" t="str">
        <f>IFERROR(IF(tblInputSheet[[#This Row],[Process]] = "", "", REPT("*",Demo!$A37)&amp;""&amp;tblInputSheet[[#This Row],[Process]]), "")</f>
        <v>*********Service Disposition &amp; Pre-Auth Service</v>
      </c>
      <c r="E37" s="9" t="str">
        <f>IFERROR(IF(tblInputSheet[[#This Row],[Hosted Platform]] = "", "", tblInputSheet[[#This Row],[Hosted Platform]]), "")</f>
        <v>PCF</v>
      </c>
      <c r="F37" s="9" t="str">
        <f>IFERROR(IF(tblInputSheet[[#This Row],[Provider]] = "-", "", tblInputSheet[[#This Row],[Provider]]), "")</f>
        <v>Key-Claims Adjudication</v>
      </c>
      <c r="G37" s="9" t="str">
        <f>IFERROR(IF(tblInputSheet[[#This Row],[Consumer]] = "-", "", tblInputSheet[[#This Row],[Consumer]]), "")</f>
        <v>Key-Claims Adjudication</v>
      </c>
      <c r="H37" s="9" t="str">
        <f>IFERROR(IF(tblInputSheet[[#This Row],[Integration Pattern]] = "-", "", tblInputSheet[[#This Row],[Integration Pattern]]), "")</f>
        <v>PCF Internal (C-to-C)</v>
      </c>
      <c r="I37" s="9" t="str">
        <f>IFERROR(IF(tblInputSheet[[#This Row],[Current State]] = "-", "", tblInputSheet[[#This Row],[Current State]]), "")</f>
        <v>Y</v>
      </c>
      <c r="J37" s="9" t="str">
        <f>IFERROR(IF(tblInputSheet[[#This Row],[End State]] = "-", "", tblInputSheet[[#This Row],[End State]]), "")</f>
        <v>Y</v>
      </c>
      <c r="K37" s="9" t="str">
        <f>IFERROR(IF(tblInputSheet[[#This Row],[MVP]] = "-", "", tblInputSheet[[#This Row],[MVP]]), "")</f>
        <v>Y</v>
      </c>
      <c r="L37" s="8">
        <f>IFERROR(IF(tblInputSheet[[#This Row],[Count of Invocations]] = "", "", tblInputSheet[[#This Row],[Count of Invocations]]), "")</f>
        <v>1</v>
      </c>
      <c r="M37" s="18">
        <f>IFERROR(IF(tblInputSheet[[#This Row],[DB Calls (ms)]] = "", "", tblInputSheet[[#This Row],[DB Calls (ms)]]), "")</f>
        <v>1</v>
      </c>
      <c r="N37" s="18">
        <f>IFERROR(IF(tblInputSheet[[#This Row],[Logic (ms)]] = "", "", tblInputSheet[[#This Row],[Logic (ms)]]), "")</f>
        <v>5</v>
      </c>
      <c r="O37" s="18">
        <f>IFERROR(IF(tblInputSheet[[#This Row],[Rules (ms)]] = "", "", tblInputSheet[[#This Row],[Rules (ms)]]), "")</f>
        <v>0</v>
      </c>
      <c r="P37" s="18">
        <f>IFERROR(IF(tblInputSheet[[#This Row],[Latency (ms)]] = "", "", tblInputSheet[[#This Row],[Latency (ms)]]), "")</f>
        <v>15</v>
      </c>
      <c r="Q37" s="8">
        <f>IFERROR(SUM(tblDisplaySheet2[[#This Row],[DB Calls (ms)]:[Latency (ms)]]), "")</f>
        <v>21</v>
      </c>
      <c r="R37" s="8">
        <f>IFERROR(tblDisplaySheet[[#This Row],[Total Process Time]], "")</f>
        <v>21</v>
      </c>
      <c r="S37" s="8">
        <f>IFERROR(tblDisplaySheet[[#This Row],[Total Process Path Length]], "")</f>
        <v>67</v>
      </c>
      <c r="T37" s="8">
        <f>IFERROR(tblDisplaySheet[[#This Row],[Process NFR]], "")</f>
        <v>20</v>
      </c>
      <c r="U37" s="8">
        <f>IFERROR(tblDisplaySheet[[#This Row],[Total Process NFR]], "")</f>
        <v>20</v>
      </c>
      <c r="V37" s="8">
        <f>IFERROR(tblDisplaySheet[[#This Row],[Total Process Path Length NFR]], "")</f>
        <v>70</v>
      </c>
      <c r="W37" s="8">
        <f>IFERROR(tblDisplaySheet[[#This Row],[Difference]], "")</f>
        <v>3</v>
      </c>
      <c r="X37" s="8" t="str">
        <f>IFERROR(tblDisplaySheet[[#This Row],[Status]], "")</f>
        <v>On Target</v>
      </c>
      <c r="Y37" s="24" t="str">
        <f>IFERROR(tblDisplaySheet[[#This Row],[Is Leaf?]], "")</f>
        <v>N</v>
      </c>
      <c r="Z37" s="24" t="str">
        <f>IFERROR(IF(tblInputSheet[[#This Row],[Owner]] = "", "", tblInputSheet[[#This Row],[Owner]]), "")</f>
        <v>Sankar</v>
      </c>
      <c r="AA37" s="24" t="str">
        <f>IFERROR(IF(tblInputSheet[[#This Row],[Notes]] = "", "", tblInputSheet[[#This Row],[Notes]]), "")</f>
        <v/>
      </c>
    </row>
    <row r="38" spans="1:27" hidden="1" x14ac:dyDescent="0.25">
      <c r="A38" s="9">
        <f>IFERROR(IF(tblInputSheet[[#This Row],[Level]] = "", "", tblInputSheet[[#This Row],[Level]]), "")</f>
        <v>10</v>
      </c>
      <c r="B38" s="9">
        <f>IFERROR(IF(tblInputSheet[[#This Row],[Sl.No]] = "", "", tblInputSheet[[#This Row],[Sl.No]]), "")</f>
        <v>36</v>
      </c>
      <c r="C38" s="9" t="str">
        <f>IFERROR(IF(tblInputSheet[[#This Row],[Group]] = "", "", tblInputSheet[[#This Row],[Group]]), "")</f>
        <v>Service Level - BD</v>
      </c>
      <c r="D38" s="9" t="str">
        <f>IFERROR(IF(tblInputSheet[[#This Row],[Process]] = "", "", REPT("*",Demo!$A38)&amp;""&amp;tblInputSheet[[#This Row],[Process]]), "")</f>
        <v>**********Keystone PANS Service(Adj. Path)</v>
      </c>
      <c r="E38" s="9" t="str">
        <f>IFERROR(IF(tblInputSheet[[#This Row],[Hosted Platform]] = "", "", tblInputSheet[[#This Row],[Hosted Platform]]), "")</f>
        <v>PCF</v>
      </c>
      <c r="F38" s="9" t="str">
        <f>IFERROR(IF(tblInputSheet[[#This Row],[Provider]] = "-", "", tblInputSheet[[#This Row],[Provider]]), "")</f>
        <v>Key-Claims Adjudication</v>
      </c>
      <c r="G38" s="9" t="str">
        <f>IFERROR(IF(tblInputSheet[[#This Row],[Consumer]] = "-", "", tblInputSheet[[#This Row],[Consumer]]), "")</f>
        <v>Key-Claims Adjudication</v>
      </c>
      <c r="H38" s="9" t="str">
        <f>IFERROR(IF(tblInputSheet[[#This Row],[Integration Pattern]] = "-", "", tblInputSheet[[#This Row],[Integration Pattern]]), "")</f>
        <v>PCF Internal (C-to-C)</v>
      </c>
      <c r="I38" s="9" t="str">
        <f>IFERROR(IF(tblInputSheet[[#This Row],[Current State]] = "-", "", tblInputSheet[[#This Row],[Current State]]), "")</f>
        <v>Y</v>
      </c>
      <c r="J38" s="9" t="str">
        <f>IFERROR(IF(tblInputSheet[[#This Row],[End State]] = "-", "", tblInputSheet[[#This Row],[End State]]), "")</f>
        <v>Y</v>
      </c>
      <c r="K38" s="9" t="str">
        <f>IFERROR(IF(tblInputSheet[[#This Row],[MVP]] = "-", "", tblInputSheet[[#This Row],[MVP]]), "")</f>
        <v>Y</v>
      </c>
      <c r="L38" s="8">
        <f>IFERROR(IF(tblInputSheet[[#This Row],[Count of Invocations]] = "", "", tblInputSheet[[#This Row],[Count of Invocations]]), "")</f>
        <v>1</v>
      </c>
      <c r="M38" s="18">
        <f>IFERROR(IF(tblInputSheet[[#This Row],[DB Calls (ms)]] = "", "", tblInputSheet[[#This Row],[DB Calls (ms)]]), "")</f>
        <v>1</v>
      </c>
      <c r="N38" s="18">
        <f>IFERROR(IF(tblInputSheet[[#This Row],[Logic (ms)]] = "", "", tblInputSheet[[#This Row],[Logic (ms)]]), "")</f>
        <v>30</v>
      </c>
      <c r="O38" s="18">
        <f>IFERROR(IF(tblInputSheet[[#This Row],[Rules (ms)]] = "", "", tblInputSheet[[#This Row],[Rules (ms)]]), "")</f>
        <v>0</v>
      </c>
      <c r="P38" s="18">
        <f>IFERROR(IF(tblInputSheet[[#This Row],[Latency (ms)]] = "", "", tblInputSheet[[#This Row],[Latency (ms)]]), "")</f>
        <v>15</v>
      </c>
      <c r="Q38" s="8">
        <f>IFERROR(SUM(tblDisplaySheet2[[#This Row],[DB Calls (ms)]:[Latency (ms)]]), "")</f>
        <v>46</v>
      </c>
      <c r="R38" s="8">
        <f>IFERROR(tblDisplaySheet[[#This Row],[Total Process Time]], "")</f>
        <v>46</v>
      </c>
      <c r="S38" s="8">
        <f>IFERROR(tblDisplaySheet[[#This Row],[Total Process Path Length]], "")</f>
        <v>46</v>
      </c>
      <c r="T38" s="8">
        <f>IFERROR(tblDisplaySheet[[#This Row],[Process NFR]], "")</f>
        <v>50</v>
      </c>
      <c r="U38" s="8">
        <f>IFERROR(tblDisplaySheet[[#This Row],[Total Process NFR]], "")</f>
        <v>50</v>
      </c>
      <c r="V38" s="8">
        <f>IFERROR(tblDisplaySheet[[#This Row],[Total Process Path Length NFR]], "")</f>
        <v>50</v>
      </c>
      <c r="W38" s="8">
        <f>IFERROR(tblDisplaySheet[[#This Row],[Difference]], "")</f>
        <v>4</v>
      </c>
      <c r="X38" s="8" t="str">
        <f>IFERROR(tblDisplaySheet[[#This Row],[Status]], "")</f>
        <v>On Target</v>
      </c>
      <c r="Y38" s="24" t="str">
        <f>IFERROR(tblDisplaySheet[[#This Row],[Is Leaf?]], "")</f>
        <v>Y</v>
      </c>
      <c r="Z38" s="24" t="str">
        <f>IFERROR(IF(tblInputSheet[[#This Row],[Owner]] = "", "", tblInputSheet[[#This Row],[Owner]]), "")</f>
        <v>Sankar</v>
      </c>
      <c r="AA38" s="24" t="str">
        <f>IFERROR(IF(tblInputSheet[[#This Row],[Notes]] = "", "", tblInputSheet[[#This Row],[Notes]]), "")</f>
        <v/>
      </c>
    </row>
    <row r="39" spans="1:27" hidden="1" x14ac:dyDescent="0.25">
      <c r="A39" s="9">
        <f>IFERROR(IF(tblInputSheet[[#This Row],[Level]] = "", "", tblInputSheet[[#This Row],[Level]]), "")</f>
        <v>9</v>
      </c>
      <c r="B39" s="9">
        <f>IFERROR(IF(tblInputSheet[[#This Row],[Sl.No]] = "", "", tblInputSheet[[#This Row],[Sl.No]]), "")</f>
        <v>37</v>
      </c>
      <c r="C39" s="9" t="str">
        <f>IFERROR(IF(tblInputSheet[[#This Row],[Group]] = "", "", tblInputSheet[[#This Row],[Group]]), "")</f>
        <v>Service Level - BD</v>
      </c>
      <c r="D39" s="9" t="str">
        <f>IFERROR(IF(tblInputSheet[[#This Row],[Process]] = "", "", REPT("*",Demo!$A39)&amp;""&amp;tblInputSheet[[#This Row],[Process]]), "")</f>
        <v>*********ARIS Mule Adapter</v>
      </c>
      <c r="E39" s="9" t="str">
        <f>IFERROR(IF(tblInputSheet[[#This Row],[Hosted Platform]] = "", "", tblInputSheet[[#This Row],[Hosted Platform]]), "")</f>
        <v>Mule ESB</v>
      </c>
      <c r="F39" s="9" t="str">
        <f>IFERROR(IF(tblInputSheet[[#This Row],[Provider]] = "-", "", tblInputSheet[[#This Row],[Provider]]), "")</f>
        <v>Key-Claims Adjudication</v>
      </c>
      <c r="G39" s="9" t="str">
        <f>IFERROR(IF(tblInputSheet[[#This Row],[Consumer]] = "-", "", tblInputSheet[[#This Row],[Consumer]]), "")</f>
        <v>Key-Claims Adjudication</v>
      </c>
      <c r="H39" s="9" t="str">
        <f>IFERROR(IF(tblInputSheet[[#This Row],[Integration Pattern]] = "-", "", tblInputSheet[[#This Row],[Integration Pattern]]), "")</f>
        <v>ESB - MQ Integration</v>
      </c>
      <c r="I39" s="9" t="str">
        <f>IFERROR(IF(tblInputSheet[[#This Row],[Current State]] = "-", "", tblInputSheet[[#This Row],[Current State]]), "")</f>
        <v>Y</v>
      </c>
      <c r="J39" s="9" t="str">
        <f>IFERROR(IF(tblInputSheet[[#This Row],[End State]] = "-", "", tblInputSheet[[#This Row],[End State]]), "")</f>
        <v>N</v>
      </c>
      <c r="K39" s="9" t="str">
        <f>IFERROR(IF(tblInputSheet[[#This Row],[MVP]] = "-", "", tblInputSheet[[#This Row],[MVP]]), "")</f>
        <v>Y</v>
      </c>
      <c r="L39" s="8">
        <f>IFERROR(IF(tblInputSheet[[#This Row],[Count of Invocations]] = "", "", tblInputSheet[[#This Row],[Count of Invocations]]), "")</f>
        <v>1</v>
      </c>
      <c r="M39" s="18">
        <f>IFERROR(IF(tblInputSheet[[#This Row],[DB Calls (ms)]] = "", "", tblInputSheet[[#This Row],[DB Calls (ms)]]), "")</f>
        <v>0</v>
      </c>
      <c r="N39" s="18">
        <f>IFERROR(IF(tblInputSheet[[#This Row],[Logic (ms)]] = "", "", tblInputSheet[[#This Row],[Logic (ms)]]), "")</f>
        <v>50</v>
      </c>
      <c r="O39" s="18">
        <f>IFERROR(IF(tblInputSheet[[#This Row],[Rules (ms)]] = "", "", tblInputSheet[[#This Row],[Rules (ms)]]), "")</f>
        <v>0</v>
      </c>
      <c r="P39" s="18">
        <f>IFERROR(IF(tblInputSheet[[#This Row],[Latency (ms)]] = "", "", tblInputSheet[[#This Row],[Latency (ms)]]), "")</f>
        <v>35</v>
      </c>
      <c r="Q39" s="8">
        <f>IFERROR(SUM(tblDisplaySheet2[[#This Row],[DB Calls (ms)]:[Latency (ms)]]), "")</f>
        <v>85</v>
      </c>
      <c r="R39" s="8">
        <f>IFERROR(tblDisplaySheet[[#This Row],[Total Process Time]], "")</f>
        <v>85</v>
      </c>
      <c r="S39" s="8">
        <f>IFERROR(tblDisplaySheet[[#This Row],[Total Process Path Length]], "")</f>
        <v>116</v>
      </c>
      <c r="T39" s="8">
        <f>IFERROR(tblDisplaySheet[[#This Row],[Process NFR]], "")</f>
        <v>85</v>
      </c>
      <c r="U39" s="8">
        <f>IFERROR(tblDisplaySheet[[#This Row],[Total Process NFR]], "")</f>
        <v>85</v>
      </c>
      <c r="V39" s="8">
        <f>IFERROR(tblDisplaySheet[[#This Row],[Total Process Path Length NFR]], "")</f>
        <v>120</v>
      </c>
      <c r="W39" s="8">
        <f>IFERROR(tblDisplaySheet[[#This Row],[Difference]], "")</f>
        <v>4</v>
      </c>
      <c r="X39" s="8" t="str">
        <f>IFERROR(tblDisplaySheet[[#This Row],[Status]], "")</f>
        <v>On Target</v>
      </c>
      <c r="Y39" s="24" t="str">
        <f>IFERROR(tblDisplaySheet[[#This Row],[Is Leaf?]], "")</f>
        <v>N</v>
      </c>
      <c r="Z39" s="24" t="str">
        <f>IFERROR(IF(tblInputSheet[[#This Row],[Owner]] = "", "", tblInputSheet[[#This Row],[Owner]]), "")</f>
        <v>Sankar</v>
      </c>
      <c r="AA39" s="24" t="str">
        <f>IFERROR(IF(tblInputSheet[[#This Row],[Notes]] = "", "", tblInputSheet[[#This Row],[Notes]]), "")</f>
        <v/>
      </c>
    </row>
    <row r="40" spans="1:27" hidden="1" x14ac:dyDescent="0.25">
      <c r="A40" s="9">
        <f>IFERROR(IF(tblInputSheet[[#This Row],[Level]] = "", "", tblInputSheet[[#This Row],[Level]]), "")</f>
        <v>10</v>
      </c>
      <c r="B40" s="9">
        <f>IFERROR(IF(tblInputSheet[[#This Row],[Sl.No]] = "", "", tblInputSheet[[#This Row],[Sl.No]]), "")</f>
        <v>38</v>
      </c>
      <c r="C40" s="9" t="str">
        <f>IFERROR(IF(tblInputSheet[[#This Row],[Group]] = "", "", tblInputSheet[[#This Row],[Group]]), "")</f>
        <v>Service Level - BD</v>
      </c>
      <c r="D40" s="9" t="str">
        <f>IFERROR(IF(tblInputSheet[[#This Row],[Process]] = "", "", REPT("*",Demo!$A40)&amp;""&amp;tblInputSheet[[#This Row],[Process]]), "")</f>
        <v>**********ARIS Module</v>
      </c>
      <c r="E40" s="9" t="str">
        <f>IFERROR(IF(tblInputSheet[[#This Row],[Hosted Platform]] = "", "", tblInputSheet[[#This Row],[Hosted Platform]]), "")</f>
        <v>Cross-Portfolio</v>
      </c>
      <c r="F40" s="9" t="str">
        <f>IFERROR(IF(tblInputSheet[[#This Row],[Provider]] = "-", "", tblInputSheet[[#This Row],[Provider]]), "")</f>
        <v>EMPCO</v>
      </c>
      <c r="G40" s="9" t="str">
        <f>IFERROR(IF(tblInputSheet[[#This Row],[Consumer]] = "-", "", tblInputSheet[[#This Row],[Consumer]]), "")</f>
        <v>Key-Claims Adjudication</v>
      </c>
      <c r="H40" s="9" t="str">
        <f>IFERROR(IF(tblInputSheet[[#This Row],[Integration Pattern]] = "-", "", tblInputSheet[[#This Row],[Integration Pattern]]), "")</f>
        <v>BC Internal</v>
      </c>
      <c r="I40" s="9" t="str">
        <f>IFERROR(IF(tblInputSheet[[#This Row],[Current State]] = "-", "", tblInputSheet[[#This Row],[Current State]]), "")</f>
        <v>Y</v>
      </c>
      <c r="J40" s="9" t="str">
        <f>IFERROR(IF(tblInputSheet[[#This Row],[End State]] = "-", "", tblInputSheet[[#This Row],[End State]]), "")</f>
        <v>Y</v>
      </c>
      <c r="K40" s="9" t="str">
        <f>IFERROR(IF(tblInputSheet[[#This Row],[MVP]] = "-", "", tblInputSheet[[#This Row],[MVP]]), "")</f>
        <v>Y</v>
      </c>
      <c r="L40" s="8">
        <f>IFERROR(IF(tblInputSheet[[#This Row],[Count of Invocations]] = "", "", tblInputSheet[[#This Row],[Count of Invocations]]), "")</f>
        <v>1</v>
      </c>
      <c r="M40" s="18">
        <f>IFERROR(IF(tblInputSheet[[#This Row],[DB Calls (ms)]] = "", "", tblInputSheet[[#This Row],[DB Calls (ms)]]), "")</f>
        <v>1</v>
      </c>
      <c r="N40" s="18">
        <f>IFERROR(IF(tblInputSheet[[#This Row],[Logic (ms)]] = "", "", tblInputSheet[[#This Row],[Logic (ms)]]), "")</f>
        <v>15</v>
      </c>
      <c r="O40" s="18">
        <f>IFERROR(IF(tblInputSheet[[#This Row],[Rules (ms)]] = "", "", tblInputSheet[[#This Row],[Rules (ms)]]), "")</f>
        <v>0</v>
      </c>
      <c r="P40" s="18">
        <f>IFERROR(IF(tblInputSheet[[#This Row],[Latency (ms)]] = "", "", tblInputSheet[[#This Row],[Latency (ms)]]), "")</f>
        <v>15</v>
      </c>
      <c r="Q40" s="8">
        <f>IFERROR(SUM(tblDisplaySheet2[[#This Row],[DB Calls (ms)]:[Latency (ms)]]), "")</f>
        <v>31</v>
      </c>
      <c r="R40" s="8">
        <f>IFERROR(tblDisplaySheet[[#This Row],[Total Process Time]], "")</f>
        <v>31</v>
      </c>
      <c r="S40" s="8">
        <f>IFERROR(tblDisplaySheet[[#This Row],[Total Process Path Length]], "")</f>
        <v>31</v>
      </c>
      <c r="T40" s="8">
        <f>IFERROR(tblDisplaySheet[[#This Row],[Process NFR]], "")</f>
        <v>35</v>
      </c>
      <c r="U40" s="8">
        <f>IFERROR(tblDisplaySheet[[#This Row],[Total Process NFR]], "")</f>
        <v>35</v>
      </c>
      <c r="V40" s="8">
        <f>IFERROR(tblDisplaySheet[[#This Row],[Total Process Path Length NFR]], "")</f>
        <v>35</v>
      </c>
      <c r="W40" s="8">
        <f>IFERROR(tblDisplaySheet[[#This Row],[Difference]], "")</f>
        <v>4</v>
      </c>
      <c r="X40" s="8" t="str">
        <f>IFERROR(tblDisplaySheet[[#This Row],[Status]], "")</f>
        <v>On Target</v>
      </c>
      <c r="Y40" s="24" t="str">
        <f>IFERROR(tblDisplaySheet[[#This Row],[Is Leaf?]], "")</f>
        <v>Y</v>
      </c>
      <c r="Z40" s="24" t="str">
        <f>IFERROR(IF(tblInputSheet[[#This Row],[Owner]] = "", "", tblInputSheet[[#This Row],[Owner]]), "")</f>
        <v>Sankar</v>
      </c>
      <c r="AA40" s="24" t="str">
        <f>IFERROR(IF(tblInputSheet[[#This Row],[Notes]] = "", "", tblInputSheet[[#This Row],[Notes]]), "")</f>
        <v/>
      </c>
    </row>
    <row r="41" spans="1:27" hidden="1" x14ac:dyDescent="0.25">
      <c r="A41" s="9">
        <f>IFERROR(IF(tblInputSheet[[#This Row],[Level]] = "", "", tblInputSheet[[#This Row],[Level]]), "")</f>
        <v>9</v>
      </c>
      <c r="B41" s="9">
        <f>IFERROR(IF(tblInputSheet[[#This Row],[Sl.No]] = "", "", tblInputSheet[[#This Row],[Sl.No]]), "")</f>
        <v>39</v>
      </c>
      <c r="C41" s="9" t="str">
        <f>IFERROR(IF(tblInputSheet[[#This Row],[Group]] = "", "", tblInputSheet[[#This Row],[Group]]), "")</f>
        <v>Service Level - BD</v>
      </c>
      <c r="D41" s="9" t="str">
        <f>IFERROR(IF(tblInputSheet[[#This Row],[Process]] = "", "", REPT("*",Demo!$A41)&amp;""&amp;tblInputSheet[[#This Row],[Process]]), "")</f>
        <v>*********Service Eligibility &amp; PreAuth Rules Service</v>
      </c>
      <c r="E41" s="9" t="str">
        <f>IFERROR(IF(tblInputSheet[[#This Row],[Hosted Platform]] = "", "", tblInputSheet[[#This Row],[Hosted Platform]]), "")</f>
        <v>PCF</v>
      </c>
      <c r="F41" s="9" t="str">
        <f>IFERROR(IF(tblInputSheet[[#This Row],[Provider]] = "-", "", tblInputSheet[[#This Row],[Provider]]), "")</f>
        <v>Key-Claims Adjudication</v>
      </c>
      <c r="G41" s="9" t="str">
        <f>IFERROR(IF(tblInputSheet[[#This Row],[Consumer]] = "-", "", tblInputSheet[[#This Row],[Consumer]]), "")</f>
        <v>Key-Claims Adjudication</v>
      </c>
      <c r="H41" s="9" t="str">
        <f>IFERROR(IF(tblInputSheet[[#This Row],[Integration Pattern]] = "-", "", tblInputSheet[[#This Row],[Integration Pattern]]), "")</f>
        <v>PCF Internal (C-to-C)</v>
      </c>
      <c r="I41" s="9" t="str">
        <f>IFERROR(IF(tblInputSheet[[#This Row],[Current State]] = "-", "", tblInputSheet[[#This Row],[Current State]]), "")</f>
        <v>Y</v>
      </c>
      <c r="J41" s="9" t="str">
        <f>IFERROR(IF(tblInputSheet[[#This Row],[End State]] = "-", "", tblInputSheet[[#This Row],[End State]]), "")</f>
        <v>Y</v>
      </c>
      <c r="K41" s="9" t="str">
        <f>IFERROR(IF(tblInputSheet[[#This Row],[MVP]] = "-", "", tblInputSheet[[#This Row],[MVP]]), "")</f>
        <v>Y</v>
      </c>
      <c r="L41" s="8">
        <f>IFERROR(IF(tblInputSheet[[#This Row],[Count of Invocations]] = "", "", tblInputSheet[[#This Row],[Count of Invocations]]), "")</f>
        <v>1</v>
      </c>
      <c r="M41" s="18">
        <f>IFERROR(IF(tblInputSheet[[#This Row],[DB Calls (ms)]] = "", "", tblInputSheet[[#This Row],[DB Calls (ms)]]), "")</f>
        <v>1</v>
      </c>
      <c r="N41" s="18">
        <f>IFERROR(IF(tblInputSheet[[#This Row],[Logic (ms)]] = "", "", tblInputSheet[[#This Row],[Logic (ms)]]), "")</f>
        <v>80</v>
      </c>
      <c r="O41" s="18">
        <f>IFERROR(IF(tblInputSheet[[#This Row],[Rules (ms)]] = "", "", tblInputSheet[[#This Row],[Rules (ms)]]), "")</f>
        <v>0</v>
      </c>
      <c r="P41" s="18">
        <f>IFERROR(IF(tblInputSheet[[#This Row],[Latency (ms)]] = "", "", tblInputSheet[[#This Row],[Latency (ms)]]), "")</f>
        <v>5</v>
      </c>
      <c r="Q41" s="8">
        <f>IFERROR(SUM(tblDisplaySheet2[[#This Row],[DB Calls (ms)]:[Latency (ms)]]), "")</f>
        <v>86</v>
      </c>
      <c r="R41" s="8">
        <f>IFERROR(tblDisplaySheet[[#This Row],[Total Process Time]], "")</f>
        <v>86</v>
      </c>
      <c r="S41" s="8">
        <f>IFERROR(tblDisplaySheet[[#This Row],[Total Process Path Length]], "")</f>
        <v>195</v>
      </c>
      <c r="T41" s="8">
        <f>IFERROR(tblDisplaySheet[[#This Row],[Process NFR]], "")</f>
        <v>100</v>
      </c>
      <c r="U41" s="8">
        <f>IFERROR(tblDisplaySheet[[#This Row],[Total Process NFR]], "")</f>
        <v>100</v>
      </c>
      <c r="V41" s="8">
        <f>IFERROR(tblDisplaySheet[[#This Row],[Total Process Path Length NFR]], "")</f>
        <v>240</v>
      </c>
      <c r="W41" s="8">
        <f>IFERROR(tblDisplaySheet[[#This Row],[Difference]], "")</f>
        <v>45</v>
      </c>
      <c r="X41" s="8" t="str">
        <f>IFERROR(tblDisplaySheet[[#This Row],[Status]], "")</f>
        <v>On Target</v>
      </c>
      <c r="Y41" s="24" t="str">
        <f>IFERROR(tblDisplaySheet[[#This Row],[Is Leaf?]], "")</f>
        <v>N</v>
      </c>
      <c r="Z41" s="24" t="str">
        <f>IFERROR(IF(tblInputSheet[[#This Row],[Owner]] = "", "", tblInputSheet[[#This Row],[Owner]]), "")</f>
        <v>Sankar</v>
      </c>
      <c r="AA41" s="24" t="str">
        <f>IFERROR(IF(tblInputSheet[[#This Row],[Notes]] = "", "", tblInputSheet[[#This Row],[Notes]]), "")</f>
        <v/>
      </c>
    </row>
    <row r="42" spans="1:27" hidden="1" x14ac:dyDescent="0.25">
      <c r="A42" s="9">
        <f>IFERROR(IF(tblInputSheet[[#This Row],[Level]] = "", "", tblInputSheet[[#This Row],[Level]]), "")</f>
        <v>10</v>
      </c>
      <c r="B42" s="9">
        <f>IFERROR(IF(tblInputSheet[[#This Row],[Sl.No]] = "", "", tblInputSheet[[#This Row],[Sl.No]]), "")</f>
        <v>40</v>
      </c>
      <c r="C42" s="9" t="str">
        <f>IFERROR(IF(tblInputSheet[[#This Row],[Group]] = "", "", tblInputSheet[[#This Row],[Group]]), "")</f>
        <v>Service Level - BD</v>
      </c>
      <c r="D42" s="9" t="str">
        <f>IFERROR(IF(tblInputSheet[[#This Row],[Process]] = "", "", REPT("*",Demo!$A42)&amp;""&amp;tblInputSheet[[#This Row],[Process]]), "")</f>
        <v>**********Service Category Determination Service</v>
      </c>
      <c r="E42" s="9" t="str">
        <f>IFERROR(IF(tblInputSheet[[#This Row],[Hosted Platform]] = "", "", tblInputSheet[[#This Row],[Hosted Platform]]), "")</f>
        <v>PCF</v>
      </c>
      <c r="F42" s="9" t="str">
        <f>IFERROR(IF(tblInputSheet[[#This Row],[Provider]] = "-", "", tblInputSheet[[#This Row],[Provider]]), "")</f>
        <v>Key-Claims Adjudication</v>
      </c>
      <c r="G42" s="9" t="str">
        <f>IFERROR(IF(tblInputSheet[[#This Row],[Consumer]] = "-", "", tblInputSheet[[#This Row],[Consumer]]), "")</f>
        <v>Key-Claims Adjudication</v>
      </c>
      <c r="H42" s="9" t="str">
        <f>IFERROR(IF(tblInputSheet[[#This Row],[Integration Pattern]] = "-", "", tblInputSheet[[#This Row],[Integration Pattern]]), "")</f>
        <v>PCF Internal (C-to-C)</v>
      </c>
      <c r="I42" s="9" t="str">
        <f>IFERROR(IF(tblInputSheet[[#This Row],[Current State]] = "-", "", tblInputSheet[[#This Row],[Current State]]), "")</f>
        <v>Y</v>
      </c>
      <c r="J42" s="9" t="str">
        <f>IFERROR(IF(tblInputSheet[[#This Row],[End State]] = "-", "", tblInputSheet[[#This Row],[End State]]), "")</f>
        <v>Y</v>
      </c>
      <c r="K42" s="9" t="str">
        <f>IFERROR(IF(tblInputSheet[[#This Row],[MVP]] = "-", "", tblInputSheet[[#This Row],[MVP]]), "")</f>
        <v>Y</v>
      </c>
      <c r="L42" s="8">
        <f>IFERROR(IF(tblInputSheet[[#This Row],[Count of Invocations]] = "", "", tblInputSheet[[#This Row],[Count of Invocations]]), "")</f>
        <v>1</v>
      </c>
      <c r="M42" s="18">
        <f>IFERROR(IF(tblInputSheet[[#This Row],[DB Calls (ms)]] = "", "", tblInputSheet[[#This Row],[DB Calls (ms)]]), "")</f>
        <v>1</v>
      </c>
      <c r="N42" s="18">
        <f>IFERROR(IF(tblInputSheet[[#This Row],[Logic (ms)]] = "", "", tblInputSheet[[#This Row],[Logic (ms)]]), "")</f>
        <v>40</v>
      </c>
      <c r="O42" s="18">
        <f>IFERROR(IF(tblInputSheet[[#This Row],[Rules (ms)]] = "", "", tblInputSheet[[#This Row],[Rules (ms)]]), "")</f>
        <v>0</v>
      </c>
      <c r="P42" s="18">
        <f>IFERROR(IF(tblInputSheet[[#This Row],[Latency (ms)]] = "", "", tblInputSheet[[#This Row],[Latency (ms)]]), "")</f>
        <v>5</v>
      </c>
      <c r="Q42" s="8">
        <f>IFERROR(SUM(tblDisplaySheet2[[#This Row],[DB Calls (ms)]:[Latency (ms)]]), "")</f>
        <v>46</v>
      </c>
      <c r="R42" s="8">
        <f>IFERROR(tblDisplaySheet[[#This Row],[Total Process Time]], "")</f>
        <v>46</v>
      </c>
      <c r="S42" s="8">
        <f>IFERROR(tblDisplaySheet[[#This Row],[Total Process Path Length]], "")</f>
        <v>46</v>
      </c>
      <c r="T42" s="8">
        <f>IFERROR(tblDisplaySheet[[#This Row],[Process NFR]], "")</f>
        <v>50</v>
      </c>
      <c r="U42" s="8">
        <f>IFERROR(tblDisplaySheet[[#This Row],[Total Process NFR]], "")</f>
        <v>50</v>
      </c>
      <c r="V42" s="8">
        <f>IFERROR(tblDisplaySheet[[#This Row],[Total Process Path Length NFR]], "")</f>
        <v>50</v>
      </c>
      <c r="W42" s="8">
        <f>IFERROR(tblDisplaySheet[[#This Row],[Difference]], "")</f>
        <v>4</v>
      </c>
      <c r="X42" s="8" t="str">
        <f>IFERROR(tblDisplaySheet[[#This Row],[Status]], "")</f>
        <v>On Target</v>
      </c>
      <c r="Y42" s="24" t="str">
        <f>IFERROR(tblDisplaySheet[[#This Row],[Is Leaf?]], "")</f>
        <v>N</v>
      </c>
      <c r="Z42" s="24" t="str">
        <f>IFERROR(IF(tblInputSheet[[#This Row],[Owner]] = "", "", tblInputSheet[[#This Row],[Owner]]), "")</f>
        <v>Sankar</v>
      </c>
      <c r="AA42" s="24" t="str">
        <f>IFERROR(IF(tblInputSheet[[#This Row],[Notes]] = "", "", tblInputSheet[[#This Row],[Notes]]), "")</f>
        <v/>
      </c>
    </row>
    <row r="43" spans="1:27" hidden="1" x14ac:dyDescent="0.25">
      <c r="A43" s="9">
        <f>IFERROR(IF(tblInputSheet[[#This Row],[Level]] = "", "", tblInputSheet[[#This Row],[Level]]), "")</f>
        <v>10</v>
      </c>
      <c r="B43" s="9">
        <f>IFERROR(IF(tblInputSheet[[#This Row],[Sl.No]] = "", "", tblInputSheet[[#This Row],[Sl.No]]), "")</f>
        <v>41</v>
      </c>
      <c r="C43" s="9" t="str">
        <f>IFERROR(IF(tblInputSheet[[#This Row],[Group]] = "", "", tblInputSheet[[#This Row],[Group]]), "")</f>
        <v>Service Level - BD</v>
      </c>
      <c r="D43" s="9" t="str">
        <f>IFERROR(IF(tblInputSheet[[#This Row],[Process]] = "", "", REPT("*",Demo!$A43)&amp;""&amp;tblInputSheet[[#This Row],[Process]]), "")</f>
        <v>**********Premier Bits API</v>
      </c>
      <c r="E43" s="9" t="str">
        <f>IFERROR(IF(tblInputSheet[[#This Row],[Hosted Platform]] = "", "", tblInputSheet[[#This Row],[Hosted Platform]]), "")</f>
        <v>Cross-Portfolio</v>
      </c>
      <c r="F43" s="9" t="str">
        <f>IFERROR(IF(tblInputSheet[[#This Row],[Provider]] = "-", "", tblInputSheet[[#This Row],[Provider]]), "")</f>
        <v>Provider</v>
      </c>
      <c r="G43" s="9" t="str">
        <f>IFERROR(IF(tblInputSheet[[#This Row],[Consumer]] = "-", "", tblInputSheet[[#This Row],[Consumer]]), "")</f>
        <v>Key-Claims Adjudication</v>
      </c>
      <c r="H43" s="9" t="str">
        <f>IFERROR(IF(tblInputSheet[[#This Row],[Integration Pattern]] = "-", "", tblInputSheet[[#This Row],[Integration Pattern]]), "")</f>
        <v>REST Service - API</v>
      </c>
      <c r="I43" s="9" t="str">
        <f>IFERROR(IF(tblInputSheet[[#This Row],[Current State]] = "-", "", tblInputSheet[[#This Row],[Current State]]), "")</f>
        <v>Y</v>
      </c>
      <c r="J43" s="9" t="str">
        <f>IFERROR(IF(tblInputSheet[[#This Row],[End State]] = "-", "", tblInputSheet[[#This Row],[End State]]), "")</f>
        <v>Y</v>
      </c>
      <c r="K43" s="9" t="str">
        <f>IFERROR(IF(tblInputSheet[[#This Row],[MVP]] = "-", "", tblInputSheet[[#This Row],[MVP]]), "")</f>
        <v>Y</v>
      </c>
      <c r="L43" s="8">
        <f>IFERROR(IF(tblInputSheet[[#This Row],[Count of Invocations]] = "", "", tblInputSheet[[#This Row],[Count of Invocations]]), "")</f>
        <v>1</v>
      </c>
      <c r="M43" s="18">
        <f>IFERROR(IF(tblInputSheet[[#This Row],[DB Calls (ms)]] = "", "", tblInputSheet[[#This Row],[DB Calls (ms)]]), "")</f>
        <v>1</v>
      </c>
      <c r="N43" s="18">
        <f>IFERROR(IF(tblInputSheet[[#This Row],[Logic (ms)]] = "", "", tblInputSheet[[#This Row],[Logic (ms)]]), "")</f>
        <v>1</v>
      </c>
      <c r="O43" s="18">
        <f>IFERROR(IF(tblInputSheet[[#This Row],[Rules (ms)]] = "", "", tblInputSheet[[#This Row],[Rules (ms)]]), "")</f>
        <v>0</v>
      </c>
      <c r="P43" s="18">
        <f>IFERROR(IF(tblInputSheet[[#This Row],[Latency (ms)]] = "", "", tblInputSheet[[#This Row],[Latency (ms)]]), "")</f>
        <v>15</v>
      </c>
      <c r="Q43" s="8">
        <f>IFERROR(SUM(tblDisplaySheet2[[#This Row],[DB Calls (ms)]:[Latency (ms)]]), "")</f>
        <v>17</v>
      </c>
      <c r="R43" s="8">
        <f>IFERROR(tblDisplaySheet[[#This Row],[Total Process Time]], "")</f>
        <v>17</v>
      </c>
      <c r="S43" s="8">
        <f>IFERROR(tblDisplaySheet[[#This Row],[Total Process Path Length]], "")</f>
        <v>17</v>
      </c>
      <c r="T43" s="8">
        <f>IFERROR(tblDisplaySheet[[#This Row],[Process NFR]], "")</f>
        <v>30</v>
      </c>
      <c r="U43" s="8">
        <f>IFERROR(tblDisplaySheet[[#This Row],[Total Process NFR]], "")</f>
        <v>30</v>
      </c>
      <c r="V43" s="8">
        <f>IFERROR(tblDisplaySheet[[#This Row],[Total Process Path Length NFR]], "")</f>
        <v>30</v>
      </c>
      <c r="W43" s="8">
        <f>IFERROR(tblDisplaySheet[[#This Row],[Difference]], "")</f>
        <v>13</v>
      </c>
      <c r="X43" s="8" t="str">
        <f>IFERROR(tblDisplaySheet[[#This Row],[Status]], "")</f>
        <v>On Target</v>
      </c>
      <c r="Y43" s="24" t="str">
        <f>IFERROR(tblDisplaySheet[[#This Row],[Is Leaf?]], "")</f>
        <v>Y</v>
      </c>
      <c r="Z43" s="24" t="str">
        <f>IFERROR(IF(tblInputSheet[[#This Row],[Owner]] = "", "", tblInputSheet[[#This Row],[Owner]]), "")</f>
        <v>Sankar</v>
      </c>
      <c r="AA43" s="24" t="str">
        <f>IFERROR(IF(tblInputSheet[[#This Row],[Notes]] = "", "", tblInputSheet[[#This Row],[Notes]]), "")</f>
        <v/>
      </c>
    </row>
    <row r="44" spans="1:27" hidden="1" x14ac:dyDescent="0.25">
      <c r="A44" s="9">
        <f>IFERROR(IF(tblInputSheet[[#This Row],[Level]] = "", "", tblInputSheet[[#This Row],[Level]]), "")</f>
        <v>10</v>
      </c>
      <c r="B44" s="9">
        <f>IFERROR(IF(tblInputSheet[[#This Row],[Sl.No]] = "", "", tblInputSheet[[#This Row],[Sl.No]]), "")</f>
        <v>42</v>
      </c>
      <c r="C44" s="9" t="str">
        <f>IFERROR(IF(tblInputSheet[[#This Row],[Group]] = "", "", tblInputSheet[[#This Row],[Group]]), "")</f>
        <v>Service Level - BD</v>
      </c>
      <c r="D44" s="9" t="str">
        <f>IFERROR(IF(tblInputSheet[[#This Row],[Process]] = "", "", REPT("*",Demo!$A44)&amp;""&amp;tblInputSheet[[#This Row],[Process]]), "")</f>
        <v>**********Service Category to Benefit Provision</v>
      </c>
      <c r="E44" s="9" t="str">
        <f>IFERROR(IF(tblInputSheet[[#This Row],[Hosted Platform]] = "", "", tblInputSheet[[#This Row],[Hosted Platform]]), "")</f>
        <v>PCF</v>
      </c>
      <c r="F44" s="9" t="str">
        <f>IFERROR(IF(tblInputSheet[[#This Row],[Provider]] = "-", "", tblInputSheet[[#This Row],[Provider]]), "")</f>
        <v>Key-Claims Adjudication</v>
      </c>
      <c r="G44" s="9" t="str">
        <f>IFERROR(IF(tblInputSheet[[#This Row],[Consumer]] = "-", "", tblInputSheet[[#This Row],[Consumer]]), "")</f>
        <v>Key-Claims Adjudication</v>
      </c>
      <c r="H44" s="9" t="str">
        <f>IFERROR(IF(tblInputSheet[[#This Row],[Integration Pattern]] = "-", "", tblInputSheet[[#This Row],[Integration Pattern]]), "")</f>
        <v>PCF Internal (C-to-C)</v>
      </c>
      <c r="I44" s="9" t="str">
        <f>IFERROR(IF(tblInputSheet[[#This Row],[Current State]] = "-", "", tblInputSheet[[#This Row],[Current State]]), "")</f>
        <v>Y</v>
      </c>
      <c r="J44" s="9" t="str">
        <f>IFERROR(IF(tblInputSheet[[#This Row],[End State]] = "-", "", tblInputSheet[[#This Row],[End State]]), "")</f>
        <v>Y</v>
      </c>
      <c r="K44" s="9" t="str">
        <f>IFERROR(IF(tblInputSheet[[#This Row],[MVP]] = "-", "", tblInputSheet[[#This Row],[MVP]]), "")</f>
        <v>Y</v>
      </c>
      <c r="L44" s="8">
        <f>IFERROR(IF(tblInputSheet[[#This Row],[Count of Invocations]] = "", "", tblInputSheet[[#This Row],[Count of Invocations]]), "")</f>
        <v>1</v>
      </c>
      <c r="M44" s="18">
        <f>IFERROR(IF(tblInputSheet[[#This Row],[DB Calls (ms)]] = "", "", tblInputSheet[[#This Row],[DB Calls (ms)]]), "")</f>
        <v>1</v>
      </c>
      <c r="N44" s="18">
        <f>IFERROR(IF(tblInputSheet[[#This Row],[Logic (ms)]] = "", "", tblInputSheet[[#This Row],[Logic (ms)]]), "")</f>
        <v>10</v>
      </c>
      <c r="O44" s="18">
        <f>IFERROR(IF(tblInputSheet[[#This Row],[Rules (ms)]] = "", "", tblInputSheet[[#This Row],[Rules (ms)]]), "")</f>
        <v>0</v>
      </c>
      <c r="P44" s="18">
        <f>IFERROR(IF(tblInputSheet[[#This Row],[Latency (ms)]] = "", "", tblInputSheet[[#This Row],[Latency (ms)]]), "")</f>
        <v>10</v>
      </c>
      <c r="Q44" s="8">
        <f>IFERROR(SUM(tblDisplaySheet2[[#This Row],[DB Calls (ms)]:[Latency (ms)]]), "")</f>
        <v>21</v>
      </c>
      <c r="R44" s="8">
        <f>IFERROR(tblDisplaySheet[[#This Row],[Total Process Time]], "")</f>
        <v>21</v>
      </c>
      <c r="S44" s="8">
        <f>IFERROR(tblDisplaySheet[[#This Row],[Total Process Path Length]], "")</f>
        <v>21</v>
      </c>
      <c r="T44" s="8">
        <f>IFERROR(tblDisplaySheet[[#This Row],[Process NFR]], "")</f>
        <v>30</v>
      </c>
      <c r="U44" s="8">
        <f>IFERROR(tblDisplaySheet[[#This Row],[Total Process NFR]], "")</f>
        <v>30</v>
      </c>
      <c r="V44" s="8">
        <f>IFERROR(tblDisplaySheet[[#This Row],[Total Process Path Length NFR]], "")</f>
        <v>30</v>
      </c>
      <c r="W44" s="8">
        <f>IFERROR(tblDisplaySheet[[#This Row],[Difference]], "")</f>
        <v>9</v>
      </c>
      <c r="X44" s="8" t="str">
        <f>IFERROR(tblDisplaySheet[[#This Row],[Status]], "")</f>
        <v>On Target</v>
      </c>
      <c r="Y44" s="24" t="str">
        <f>IFERROR(tblDisplaySheet[[#This Row],[Is Leaf?]], "")</f>
        <v>Y</v>
      </c>
      <c r="Z44" s="24" t="str">
        <f>IFERROR(IF(tblInputSheet[[#This Row],[Owner]] = "", "", tblInputSheet[[#This Row],[Owner]]), "")</f>
        <v>Sankar</v>
      </c>
      <c r="AA44" s="24" t="str">
        <f>IFERROR(IF(tblInputSheet[[#This Row],[Notes]] = "", "", tblInputSheet[[#This Row],[Notes]]), "")</f>
        <v/>
      </c>
    </row>
    <row r="45" spans="1:27" hidden="1" x14ac:dyDescent="0.25">
      <c r="A45" s="9">
        <f>IFERROR(IF(tblInputSheet[[#This Row],[Level]] = "", "", tblInputSheet[[#This Row],[Level]]), "")</f>
        <v>10</v>
      </c>
      <c r="B45" s="9">
        <f>IFERROR(IF(tblInputSheet[[#This Row],[Sl.No]] = "", "", tblInputSheet[[#This Row],[Sl.No]]), "")</f>
        <v>43</v>
      </c>
      <c r="C45" s="9" t="str">
        <f>IFERROR(IF(tblInputSheet[[#This Row],[Group]] = "", "", tblInputSheet[[#This Row],[Group]]), "")</f>
        <v>Service Level - BD</v>
      </c>
      <c r="D45" s="9" t="str">
        <f>IFERROR(IF(tblInputSheet[[#This Row],[Process]] = "", "", REPT("*",Demo!$A45)&amp;""&amp;tblInputSheet[[#This Row],[Process]]), "")</f>
        <v>**********PNDS Service</v>
      </c>
      <c r="E45" s="9" t="str">
        <f>IFERROR(IF(tblInputSheet[[#This Row],[Hosted Platform]] = "", "", tblInputSheet[[#This Row],[Hosted Platform]]), "")</f>
        <v>PCF</v>
      </c>
      <c r="F45" s="9" t="str">
        <f>IFERROR(IF(tblInputSheet[[#This Row],[Provider]] = "-", "", tblInputSheet[[#This Row],[Provider]]), "")</f>
        <v>Key-Claims Adjudication</v>
      </c>
      <c r="G45" s="9" t="str">
        <f>IFERROR(IF(tblInputSheet[[#This Row],[Consumer]] = "-", "", tblInputSheet[[#This Row],[Consumer]]), "")</f>
        <v>Key-Claims Adjudication</v>
      </c>
      <c r="H45" s="9" t="str">
        <f>IFERROR(IF(tblInputSheet[[#This Row],[Integration Pattern]] = "-", "", tblInputSheet[[#This Row],[Integration Pattern]]), "")</f>
        <v>PCF Internal (C-to-C)</v>
      </c>
      <c r="I45" s="9" t="str">
        <f>IFERROR(IF(tblInputSheet[[#This Row],[Current State]] = "-", "", tblInputSheet[[#This Row],[Current State]]), "")</f>
        <v>Y</v>
      </c>
      <c r="J45" s="9" t="str">
        <f>IFERROR(IF(tblInputSheet[[#This Row],[End State]] = "-", "", tblInputSheet[[#This Row],[End State]]), "")</f>
        <v>Y</v>
      </c>
      <c r="K45" s="9" t="str">
        <f>IFERROR(IF(tblInputSheet[[#This Row],[MVP]] = "-", "", tblInputSheet[[#This Row],[MVP]]), "")</f>
        <v>Y</v>
      </c>
      <c r="L45" s="8">
        <f>IFERROR(IF(tblInputSheet[[#This Row],[Count of Invocations]] = "", "", tblInputSheet[[#This Row],[Count of Invocations]]), "")</f>
        <v>1</v>
      </c>
      <c r="M45" s="18">
        <f>IFERROR(IF(tblInputSheet[[#This Row],[DB Calls (ms)]] = "", "", tblInputSheet[[#This Row],[DB Calls (ms)]]), "")</f>
        <v>0</v>
      </c>
      <c r="N45" s="18">
        <f>IFERROR(IF(tblInputSheet[[#This Row],[Logic (ms)]] = "", "", tblInputSheet[[#This Row],[Logic (ms)]]), "")</f>
        <v>20</v>
      </c>
      <c r="O45" s="18">
        <f>IFERROR(IF(tblInputSheet[[#This Row],[Rules (ms)]] = "", "", tblInputSheet[[#This Row],[Rules (ms)]]), "")</f>
        <v>0</v>
      </c>
      <c r="P45" s="18">
        <f>IFERROR(IF(tblInputSheet[[#This Row],[Latency (ms)]] = "", "", tblInputSheet[[#This Row],[Latency (ms)]]), "")</f>
        <v>5</v>
      </c>
      <c r="Q45" s="8">
        <f>IFERROR(SUM(tblDisplaySheet2[[#This Row],[DB Calls (ms)]:[Latency (ms)]]), "")</f>
        <v>25</v>
      </c>
      <c r="R45" s="8">
        <f>IFERROR(tblDisplaySheet[[#This Row],[Total Process Time]], "")</f>
        <v>25</v>
      </c>
      <c r="S45" s="8">
        <f>IFERROR(tblDisplaySheet[[#This Row],[Total Process Path Length]], "")</f>
        <v>25</v>
      </c>
      <c r="T45" s="8">
        <f>IFERROR(tblDisplaySheet[[#This Row],[Process NFR]], "")</f>
        <v>30</v>
      </c>
      <c r="U45" s="8">
        <f>IFERROR(tblDisplaySheet[[#This Row],[Total Process NFR]], "")</f>
        <v>30</v>
      </c>
      <c r="V45" s="8">
        <f>IFERROR(tblDisplaySheet[[#This Row],[Total Process Path Length NFR]], "")</f>
        <v>30</v>
      </c>
      <c r="W45" s="8">
        <f>IFERROR(tblDisplaySheet[[#This Row],[Difference]], "")</f>
        <v>5</v>
      </c>
      <c r="X45" s="8" t="str">
        <f>IFERROR(tblDisplaySheet[[#This Row],[Status]], "")</f>
        <v>On Target</v>
      </c>
      <c r="Y45" s="24" t="str">
        <f>IFERROR(tblDisplaySheet[[#This Row],[Is Leaf?]], "")</f>
        <v>Y</v>
      </c>
      <c r="Z45" s="24" t="str">
        <f>IFERROR(IF(tblInputSheet[[#This Row],[Owner]] = "", "", tblInputSheet[[#This Row],[Owner]]), "")</f>
        <v>Sankar</v>
      </c>
      <c r="AA45" s="24" t="str">
        <f>IFERROR(IF(tblInputSheet[[#This Row],[Notes]] = "", "", tblInputSheet[[#This Row],[Notes]]), "")</f>
        <v/>
      </c>
    </row>
    <row r="46" spans="1:27" hidden="1" x14ac:dyDescent="0.25">
      <c r="A46" s="9">
        <f>IFERROR(IF(tblInputSheet[[#This Row],[Level]] = "", "", tblInputSheet[[#This Row],[Level]]), "")</f>
        <v>7</v>
      </c>
      <c r="B46" s="9">
        <f>IFERROR(IF(tblInputSheet[[#This Row],[Sl.No]] = "", "", tblInputSheet[[#This Row],[Sl.No]]), "")</f>
        <v>44</v>
      </c>
      <c r="C46" s="9" t="str">
        <f>IFERROR(IF(tblInputSheet[[#This Row],[Group]] = "", "", tblInputSheet[[#This Row],[Group]]), "")</f>
        <v>Service Level - Medicare</v>
      </c>
      <c r="D46" s="9" t="str">
        <f>IFERROR(IF(tblInputSheet[[#This Row],[Process]] = "", "", REPT("*",Demo!$A46)&amp;""&amp;tblInputSheet[[#This Row],[Process]]), "")</f>
        <v>*******Medicare</v>
      </c>
      <c r="E46" s="9" t="str">
        <f>IFERROR(IF(tblInputSheet[[#This Row],[Hosted Platform]] = "", "", tblInputSheet[[#This Row],[Hosted Platform]]), "")</f>
        <v>Business Process</v>
      </c>
      <c r="F46" s="9" t="str">
        <f>IFERROR(IF(tblInputSheet[[#This Row],[Provider]] = "-", "", tblInputSheet[[#This Row],[Provider]]), "")</f>
        <v>NA</v>
      </c>
      <c r="G46" s="9" t="str">
        <f>IFERROR(IF(tblInputSheet[[#This Row],[Consumer]] = "-", "", tblInputSheet[[#This Row],[Consumer]]), "")</f>
        <v>NA</v>
      </c>
      <c r="H46" s="9" t="str">
        <f>IFERROR(IF(tblInputSheet[[#This Row],[Integration Pattern]] = "-", "", tblInputSheet[[#This Row],[Integration Pattern]]), "")</f>
        <v>Group</v>
      </c>
      <c r="I46" s="9" t="str">
        <f>IFERROR(IF(tblInputSheet[[#This Row],[Current State]] = "-", "", tblInputSheet[[#This Row],[Current State]]), "")</f>
        <v>Y</v>
      </c>
      <c r="J46" s="9" t="str">
        <f>IFERROR(IF(tblInputSheet[[#This Row],[End State]] = "-", "", tblInputSheet[[#This Row],[End State]]), "")</f>
        <v>Y</v>
      </c>
      <c r="K46" s="9" t="str">
        <f>IFERROR(IF(tblInputSheet[[#This Row],[MVP]] = "-", "", tblInputSheet[[#This Row],[MVP]]), "")</f>
        <v>Y</v>
      </c>
      <c r="L46" s="8">
        <f>IFERROR(IF(tblInputSheet[[#This Row],[Count of Invocations]] = "", "", tblInputSheet[[#This Row],[Count of Invocations]]), "")</f>
        <v>1</v>
      </c>
      <c r="M46" s="18">
        <f>IFERROR(IF(tblInputSheet[[#This Row],[DB Calls (ms)]] = "", "", tblInputSheet[[#This Row],[DB Calls (ms)]]), "")</f>
        <v>0</v>
      </c>
      <c r="N46" s="18">
        <f>IFERROR(IF(tblInputSheet[[#This Row],[Logic (ms)]] = "", "", tblInputSheet[[#This Row],[Logic (ms)]]), "")</f>
        <v>0</v>
      </c>
      <c r="O46" s="18">
        <f>IFERROR(IF(tblInputSheet[[#This Row],[Rules (ms)]] = "", "", tblInputSheet[[#This Row],[Rules (ms)]]), "")</f>
        <v>0</v>
      </c>
      <c r="P46" s="18">
        <f>IFERROR(IF(tblInputSheet[[#This Row],[Latency (ms)]] = "", "", tblInputSheet[[#This Row],[Latency (ms)]]), "")</f>
        <v>0</v>
      </c>
      <c r="Q46" s="8">
        <f>IFERROR(SUM(tblDisplaySheet2[[#This Row],[DB Calls (ms)]:[Latency (ms)]]), "")</f>
        <v>0</v>
      </c>
      <c r="R46" s="8">
        <f>IFERROR(tblDisplaySheet[[#This Row],[Total Process Time]], "")</f>
        <v>0</v>
      </c>
      <c r="S46" s="8">
        <f>IFERROR(tblDisplaySheet[[#This Row],[Total Process Path Length]], "")</f>
        <v>166</v>
      </c>
      <c r="T46" s="8">
        <f>IFERROR(tblDisplaySheet[[#This Row],[Process NFR]], "")</f>
        <v>0</v>
      </c>
      <c r="U46" s="8">
        <f>IFERROR(tblDisplaySheet[[#This Row],[Total Process NFR]], "")</f>
        <v>0</v>
      </c>
      <c r="V46" s="8">
        <f>IFERROR(tblDisplaySheet[[#This Row],[Total Process Path Length NFR]], "")</f>
        <v>166</v>
      </c>
      <c r="W46" s="8">
        <f>IFERROR(tblDisplaySheet[[#This Row],[Difference]], "")</f>
        <v>0</v>
      </c>
      <c r="X46" s="8" t="str">
        <f>IFERROR(tblDisplaySheet[[#This Row],[Status]], "")</f>
        <v>On Target</v>
      </c>
      <c r="Y46" s="24" t="str">
        <f>IFERROR(tblDisplaySheet[[#This Row],[Is Leaf?]], "")</f>
        <v>G</v>
      </c>
      <c r="Z46" s="24" t="str">
        <f>IFERROR(IF(tblInputSheet[[#This Row],[Owner]] = "", "", tblInputSheet[[#This Row],[Owner]]), "")</f>
        <v>Alak</v>
      </c>
      <c r="AA46" s="24" t="str">
        <f>IFERROR(IF(tblInputSheet[[#This Row],[Notes]] = "", "", tblInputSheet[[#This Row],[Notes]]), "")</f>
        <v/>
      </c>
    </row>
    <row r="47" spans="1:27" hidden="1" x14ac:dyDescent="0.25">
      <c r="A47" s="9">
        <f>IFERROR(IF(tblInputSheet[[#This Row],[Level]] = "", "", tblInputSheet[[#This Row],[Level]]), "")</f>
        <v>8</v>
      </c>
      <c r="B47" s="9">
        <f>IFERROR(IF(tblInputSheet[[#This Row],[Sl.No]] = "", "", tblInputSheet[[#This Row],[Sl.No]]), "")</f>
        <v>45</v>
      </c>
      <c r="C47" s="9" t="str">
        <f>IFERROR(IF(tblInputSheet[[#This Row],[Group]] = "", "", tblInputSheet[[#This Row],[Group]]), "")</f>
        <v>Service Level - Medicare</v>
      </c>
      <c r="D47" s="9" t="str">
        <f>IFERROR(IF(tblInputSheet[[#This Row],[Process]] = "", "", REPT("*",Demo!$A47)&amp;""&amp;tblInputSheet[[#This Row],[Process]]), "")</f>
        <v>********Medicare Microservice</v>
      </c>
      <c r="E47" s="9" t="str">
        <f>IFERROR(IF(tblInputSheet[[#This Row],[Hosted Platform]] = "", "", tblInputSheet[[#This Row],[Hosted Platform]]), "")</f>
        <v>PCF</v>
      </c>
      <c r="F47" s="9" t="str">
        <f>IFERROR(IF(tblInputSheet[[#This Row],[Provider]] = "-", "", tblInputSheet[[#This Row],[Provider]]), "")</f>
        <v>Key-Claims Adjudication</v>
      </c>
      <c r="G47" s="9" t="str">
        <f>IFERROR(IF(tblInputSheet[[#This Row],[Consumer]] = "-", "", tblInputSheet[[#This Row],[Consumer]]), "")</f>
        <v>Key-Claims Adjudication</v>
      </c>
      <c r="H47" s="9" t="str">
        <f>IFERROR(IF(tblInputSheet[[#This Row],[Integration Pattern]] = "-", "", tblInputSheet[[#This Row],[Integration Pattern]]), "")</f>
        <v>REST Service - ESB</v>
      </c>
      <c r="I47" s="9" t="str">
        <f>IFERROR(IF(tblInputSheet[[#This Row],[Current State]] = "-", "", tblInputSheet[[#This Row],[Current State]]), "")</f>
        <v>Y</v>
      </c>
      <c r="J47" s="9" t="str">
        <f>IFERROR(IF(tblInputSheet[[#This Row],[End State]] = "-", "", tblInputSheet[[#This Row],[End State]]), "")</f>
        <v>Y</v>
      </c>
      <c r="K47" s="9" t="str">
        <f>IFERROR(IF(tblInputSheet[[#This Row],[MVP]] = "-", "", tblInputSheet[[#This Row],[MVP]]), "")</f>
        <v>Y</v>
      </c>
      <c r="L47" s="8">
        <f>IFERROR(IF(tblInputSheet[[#This Row],[Count of Invocations]] = "", "", tblInputSheet[[#This Row],[Count of Invocations]]), "")</f>
        <v>1</v>
      </c>
      <c r="M47" s="18">
        <f>IFERROR(IF(tblInputSheet[[#This Row],[DB Calls (ms)]] = "", "", tblInputSheet[[#This Row],[DB Calls (ms)]]), "")</f>
        <v>0</v>
      </c>
      <c r="N47" s="18">
        <f>IFERROR(IF(tblInputSheet[[#This Row],[Logic (ms)]] = "", "", tblInputSheet[[#This Row],[Logic (ms)]]), "")</f>
        <v>5</v>
      </c>
      <c r="O47" s="18">
        <f>IFERROR(IF(tblInputSheet[[#This Row],[Rules (ms)]] = "", "", tblInputSheet[[#This Row],[Rules (ms)]]), "")</f>
        <v>0</v>
      </c>
      <c r="P47" s="18">
        <f>IFERROR(IF(tblInputSheet[[#This Row],[Latency (ms)]] = "", "", tblInputSheet[[#This Row],[Latency (ms)]]), "")</f>
        <v>15</v>
      </c>
      <c r="Q47" s="8">
        <f>IFERROR(SUM(tblDisplaySheet2[[#This Row],[DB Calls (ms)]:[Latency (ms)]]), "")</f>
        <v>20</v>
      </c>
      <c r="R47" s="8">
        <f>IFERROR(tblDisplaySheet[[#This Row],[Total Process Time]], "")</f>
        <v>20</v>
      </c>
      <c r="S47" s="8">
        <f>IFERROR(tblDisplaySheet[[#This Row],[Total Process Path Length]], "")</f>
        <v>166</v>
      </c>
      <c r="T47" s="8">
        <f>IFERROR(tblDisplaySheet[[#This Row],[Process NFR]], "")</f>
        <v>20</v>
      </c>
      <c r="U47" s="8">
        <f>IFERROR(tblDisplaySheet[[#This Row],[Total Process NFR]], "")</f>
        <v>20</v>
      </c>
      <c r="V47" s="8">
        <f>IFERROR(tblDisplaySheet[[#This Row],[Total Process Path Length NFR]], "")</f>
        <v>166</v>
      </c>
      <c r="W47" s="8">
        <f>IFERROR(tblDisplaySheet[[#This Row],[Difference]], "")</f>
        <v>0</v>
      </c>
      <c r="X47" s="8" t="str">
        <f>IFERROR(tblDisplaySheet[[#This Row],[Status]], "")</f>
        <v>On Target</v>
      </c>
      <c r="Y47" s="24" t="str">
        <f>IFERROR(tblDisplaySheet[[#This Row],[Is Leaf?]], "")</f>
        <v>N</v>
      </c>
      <c r="Z47" s="24" t="str">
        <f>IFERROR(IF(tblInputSheet[[#This Row],[Owner]] = "", "", tblInputSheet[[#This Row],[Owner]]), "")</f>
        <v>Sankar</v>
      </c>
      <c r="AA47" s="24" t="str">
        <f>IFERROR(IF(tblInputSheet[[#This Row],[Notes]] = "", "", tblInputSheet[[#This Row],[Notes]]), "")</f>
        <v/>
      </c>
    </row>
    <row r="48" spans="1:27" hidden="1" x14ac:dyDescent="0.25">
      <c r="A48" s="9">
        <f>IFERROR(IF(tblInputSheet[[#This Row],[Level]] = "", "", tblInputSheet[[#This Row],[Level]]), "")</f>
        <v>9</v>
      </c>
      <c r="B48" s="9">
        <f>IFERROR(IF(tblInputSheet[[#This Row],[Sl.No]] = "", "", tblInputSheet[[#This Row],[Sl.No]]), "")</f>
        <v>46</v>
      </c>
      <c r="C48" s="9" t="str">
        <f>IFERROR(IF(tblInputSheet[[#This Row],[Group]] = "", "", tblInputSheet[[#This Row],[Group]]), "")</f>
        <v>Service Level - Medicare</v>
      </c>
      <c r="D48" s="9" t="str">
        <f>IFERROR(IF(tblInputSheet[[#This Row],[Process]] = "", "", REPT("*",Demo!$A48)&amp;""&amp;tblInputSheet[[#This Row],[Process]]), "")</f>
        <v xml:space="preserve">*********Medicare Mule Adapter </v>
      </c>
      <c r="E48" s="9" t="str">
        <f>IFERROR(IF(tblInputSheet[[#This Row],[Hosted Platform]] = "", "", tblInputSheet[[#This Row],[Hosted Platform]]), "")</f>
        <v>Mule ESB</v>
      </c>
      <c r="F48" s="9" t="str">
        <f>IFERROR(IF(tblInputSheet[[#This Row],[Provider]] = "-", "", tblInputSheet[[#This Row],[Provider]]), "")</f>
        <v>Key-Claims Adjudication</v>
      </c>
      <c r="G48" s="9" t="str">
        <f>IFERROR(IF(tblInputSheet[[#This Row],[Consumer]] = "-", "", tblInputSheet[[#This Row],[Consumer]]), "")</f>
        <v>Other</v>
      </c>
      <c r="H48" s="9" t="str">
        <f>IFERROR(IF(tblInputSheet[[#This Row],[Integration Pattern]] = "-", "", tblInputSheet[[#This Row],[Integration Pattern]]), "")</f>
        <v>ESB - CTG Integration</v>
      </c>
      <c r="I48" s="9" t="str">
        <f>IFERROR(IF(tblInputSheet[[#This Row],[Current State]] = "-", "", tblInputSheet[[#This Row],[Current State]]), "")</f>
        <v>Y</v>
      </c>
      <c r="J48" s="9" t="str">
        <f>IFERROR(IF(tblInputSheet[[#This Row],[End State]] = "-", "", tblInputSheet[[#This Row],[End State]]), "")</f>
        <v>N</v>
      </c>
      <c r="K48" s="9" t="str">
        <f>IFERROR(IF(tblInputSheet[[#This Row],[MVP]] = "-", "", tblInputSheet[[#This Row],[MVP]]), "")</f>
        <v>Y</v>
      </c>
      <c r="L48" s="8">
        <f>IFERROR(IF(tblInputSheet[[#This Row],[Count of Invocations]] = "", "", tblInputSheet[[#This Row],[Count of Invocations]]), "")</f>
        <v>1</v>
      </c>
      <c r="M48" s="18">
        <f>IFERROR(IF(tblInputSheet[[#This Row],[DB Calls (ms)]] = "", "", tblInputSheet[[#This Row],[DB Calls (ms)]]), "")</f>
        <v>0</v>
      </c>
      <c r="N48" s="18">
        <f>IFERROR(IF(tblInputSheet[[#This Row],[Logic (ms)]] = "", "", tblInputSheet[[#This Row],[Logic (ms)]]), "")</f>
        <v>55</v>
      </c>
      <c r="O48" s="18">
        <f>IFERROR(IF(tblInputSheet[[#This Row],[Rules (ms)]] = "", "", tblInputSheet[[#This Row],[Rules (ms)]]), "")</f>
        <v>0</v>
      </c>
      <c r="P48" s="18">
        <f>IFERROR(IF(tblInputSheet[[#This Row],[Latency (ms)]] = "", "", tblInputSheet[[#This Row],[Latency (ms)]]), "")</f>
        <v>40</v>
      </c>
      <c r="Q48" s="8">
        <f>IFERROR(SUM(tblDisplaySheet2[[#This Row],[DB Calls (ms)]:[Latency (ms)]]), "")</f>
        <v>95</v>
      </c>
      <c r="R48" s="8">
        <f>IFERROR(tblDisplaySheet[[#This Row],[Total Process Time]], "")</f>
        <v>95</v>
      </c>
      <c r="S48" s="8">
        <f>IFERROR(tblDisplaySheet[[#This Row],[Total Process Path Length]], "")</f>
        <v>146</v>
      </c>
      <c r="T48" s="8">
        <f>IFERROR(tblDisplaySheet[[#This Row],[Process NFR]], "")</f>
        <v>95</v>
      </c>
      <c r="U48" s="8">
        <f>IFERROR(tblDisplaySheet[[#This Row],[Total Process NFR]], "")</f>
        <v>95</v>
      </c>
      <c r="V48" s="8">
        <f>IFERROR(tblDisplaySheet[[#This Row],[Total Process Path Length NFR]], "")</f>
        <v>146</v>
      </c>
      <c r="W48" s="8">
        <f>IFERROR(tblDisplaySheet[[#This Row],[Difference]], "")</f>
        <v>0</v>
      </c>
      <c r="X48" s="8" t="str">
        <f>IFERROR(tblDisplaySheet[[#This Row],[Status]], "")</f>
        <v>On Target</v>
      </c>
      <c r="Y48" s="24" t="str">
        <f>IFERROR(tblDisplaySheet[[#This Row],[Is Leaf?]], "")</f>
        <v>N</v>
      </c>
      <c r="Z48" s="24" t="str">
        <f>IFERROR(IF(tblInputSheet[[#This Row],[Owner]] = "", "", tblInputSheet[[#This Row],[Owner]]), "")</f>
        <v>Sankar</v>
      </c>
      <c r="AA48" s="24" t="str">
        <f>IFERROR(IF(tblInputSheet[[#This Row],[Notes]] = "", "", tblInputSheet[[#This Row],[Notes]]), "")</f>
        <v/>
      </c>
    </row>
    <row r="49" spans="1:27" hidden="1" x14ac:dyDescent="0.25">
      <c r="A49" s="9">
        <f>IFERROR(IF(tblInputSheet[[#This Row],[Level]] = "", "", tblInputSheet[[#This Row],[Level]]), "")</f>
        <v>10</v>
      </c>
      <c r="B49" s="9">
        <f>IFERROR(IF(tblInputSheet[[#This Row],[Sl.No]] = "", "", tblInputSheet[[#This Row],[Sl.No]]), "")</f>
        <v>47</v>
      </c>
      <c r="C49" s="9" t="str">
        <f>IFERROR(IF(tblInputSheet[[#This Row],[Group]] = "", "", tblInputSheet[[#This Row],[Group]]), "")</f>
        <v>Service Level - Medicare</v>
      </c>
      <c r="D49" s="9" t="str">
        <f>IFERROR(IF(tblInputSheet[[#This Row],[Process]] = "", "", REPT("*",Demo!$A49)&amp;""&amp;tblInputSheet[[#This Row],[Process]]), "")</f>
        <v>**********Invoker</v>
      </c>
      <c r="E49" s="9" t="str">
        <f>IFERROR(IF(tblInputSheet[[#This Row],[Hosted Platform]] = "", "", tblInputSheet[[#This Row],[Hosted Platform]]), "")</f>
        <v>Legacy BC</v>
      </c>
      <c r="F49" s="9" t="str">
        <f>IFERROR(IF(tblInputSheet[[#This Row],[Provider]] = "-", "", tblInputSheet[[#This Row],[Provider]]), "")</f>
        <v>Claims-Legacy</v>
      </c>
      <c r="G49" s="9" t="str">
        <f>IFERROR(IF(tblInputSheet[[#This Row],[Consumer]] = "-", "", tblInputSheet[[#This Row],[Consumer]]), "")</f>
        <v>Claims-Legacy</v>
      </c>
      <c r="H49" s="9" t="str">
        <f>IFERROR(IF(tblInputSheet[[#This Row],[Integration Pattern]] = "-", "", tblInputSheet[[#This Row],[Integration Pattern]]), "")</f>
        <v>BC Internal</v>
      </c>
      <c r="I49" s="9" t="str">
        <f>IFERROR(IF(tblInputSheet[[#This Row],[Current State]] = "-", "", tblInputSheet[[#This Row],[Current State]]), "")</f>
        <v>Y</v>
      </c>
      <c r="J49" s="9" t="str">
        <f>IFERROR(IF(tblInputSheet[[#This Row],[End State]] = "-", "", tblInputSheet[[#This Row],[End State]]), "")</f>
        <v>Y</v>
      </c>
      <c r="K49" s="9" t="str">
        <f>IFERROR(IF(tblInputSheet[[#This Row],[MVP]] = "-", "", tblInputSheet[[#This Row],[MVP]]), "")</f>
        <v>Y</v>
      </c>
      <c r="L49" s="8">
        <f>IFERROR(IF(tblInputSheet[[#This Row],[Count of Invocations]] = "", "", tblInputSheet[[#This Row],[Count of Invocations]]), "")</f>
        <v>1</v>
      </c>
      <c r="M49" s="18">
        <f>IFERROR(IF(tblInputSheet[[#This Row],[DB Calls (ms)]] = "", "", tblInputSheet[[#This Row],[DB Calls (ms)]]), "")</f>
        <v>0</v>
      </c>
      <c r="N49" s="18">
        <f>IFERROR(IF(tblInputSheet[[#This Row],[Logic (ms)]] = "", "", tblInputSheet[[#This Row],[Logic (ms)]]), "")</f>
        <v>1</v>
      </c>
      <c r="O49" s="18">
        <f>IFERROR(IF(tblInputSheet[[#This Row],[Rules (ms)]] = "", "", tblInputSheet[[#This Row],[Rules (ms)]]), "")</f>
        <v>0</v>
      </c>
      <c r="P49" s="18">
        <f>IFERROR(IF(tblInputSheet[[#This Row],[Latency (ms)]] = "", "", tblInputSheet[[#This Row],[Latency (ms)]]), "")</f>
        <v>0</v>
      </c>
      <c r="Q49" s="8">
        <f>IFERROR(SUM(tblDisplaySheet2[[#This Row],[DB Calls (ms)]:[Latency (ms)]]), "")</f>
        <v>1</v>
      </c>
      <c r="R49" s="8">
        <f>IFERROR(tblDisplaySheet[[#This Row],[Total Process Time]], "")</f>
        <v>1</v>
      </c>
      <c r="S49" s="8">
        <f>IFERROR(tblDisplaySheet[[#This Row],[Total Process Path Length]], "")</f>
        <v>51</v>
      </c>
      <c r="T49" s="8">
        <f>IFERROR(tblDisplaySheet[[#This Row],[Process NFR]], "")</f>
        <v>1</v>
      </c>
      <c r="U49" s="8">
        <f>IFERROR(tblDisplaySheet[[#This Row],[Total Process NFR]], "")</f>
        <v>1</v>
      </c>
      <c r="V49" s="8">
        <f>IFERROR(tblDisplaySheet[[#This Row],[Total Process Path Length NFR]], "")</f>
        <v>51</v>
      </c>
      <c r="W49" s="8">
        <f>IFERROR(tblDisplaySheet[[#This Row],[Difference]], "")</f>
        <v>0</v>
      </c>
      <c r="X49" s="8" t="str">
        <f>IFERROR(tblDisplaySheet[[#This Row],[Status]], "")</f>
        <v>On Target</v>
      </c>
      <c r="Y49" s="24" t="str">
        <f>IFERROR(tblDisplaySheet[[#This Row],[Is Leaf?]], "")</f>
        <v>N</v>
      </c>
      <c r="Z49" s="24" t="str">
        <f>IFERROR(IF(tblInputSheet[[#This Row],[Owner]] = "", "", tblInputSheet[[#This Row],[Owner]]), "")</f>
        <v>Sankar</v>
      </c>
      <c r="AA49" s="24" t="str">
        <f>IFERROR(IF(tblInputSheet[[#This Row],[Notes]] = "", "", tblInputSheet[[#This Row],[Notes]]), "")</f>
        <v/>
      </c>
    </row>
    <row r="50" spans="1:27" hidden="1" x14ac:dyDescent="0.25">
      <c r="A50" s="9">
        <f>IFERROR(IF(tblInputSheet[[#This Row],[Level]] = "", "", tblInputSheet[[#This Row],[Level]]), "")</f>
        <v>11</v>
      </c>
      <c r="B50" s="9">
        <f>IFERROR(IF(tblInputSheet[[#This Row],[Sl.No]] = "", "", tblInputSheet[[#This Row],[Sl.No]]), "")</f>
        <v>48</v>
      </c>
      <c r="C50" s="9" t="str">
        <f>IFERROR(IF(tblInputSheet[[#This Row],[Group]] = "", "", tblInputSheet[[#This Row],[Group]]), "")</f>
        <v>Service Level - Medicare</v>
      </c>
      <c r="D50" s="9" t="str">
        <f>IFERROR(IF(tblInputSheet[[#This Row],[Process]] = "", "", REPT("*",Demo!$A50)&amp;""&amp;tblInputSheet[[#This Row],[Process]]), "")</f>
        <v>***********Medicare Legacy Module</v>
      </c>
      <c r="E50" s="9" t="str">
        <f>IFERROR(IF(tblInputSheet[[#This Row],[Hosted Platform]] = "", "", tblInputSheet[[#This Row],[Hosted Platform]]), "")</f>
        <v>Legacy BC</v>
      </c>
      <c r="F50" s="9" t="str">
        <f>IFERROR(IF(tblInputSheet[[#This Row],[Provider]] = "-", "", tblInputSheet[[#This Row],[Provider]]), "")</f>
        <v>Claims-Legacy</v>
      </c>
      <c r="G50" s="9" t="str">
        <f>IFERROR(IF(tblInputSheet[[#This Row],[Consumer]] = "-", "", tblInputSheet[[#This Row],[Consumer]]), "")</f>
        <v>Claims-Legacy</v>
      </c>
      <c r="H50" s="9" t="str">
        <f>IFERROR(IF(tblInputSheet[[#This Row],[Integration Pattern]] = "-", "", tblInputSheet[[#This Row],[Integration Pattern]]), "")</f>
        <v>BC Internal</v>
      </c>
      <c r="I50" s="9" t="str">
        <f>IFERROR(IF(tblInputSheet[[#This Row],[Current State]] = "-", "", tblInputSheet[[#This Row],[Current State]]), "")</f>
        <v>Y</v>
      </c>
      <c r="J50" s="9" t="str">
        <f>IFERROR(IF(tblInputSheet[[#This Row],[End State]] = "-", "", tblInputSheet[[#This Row],[End State]]), "")</f>
        <v>Y</v>
      </c>
      <c r="K50" s="9" t="str">
        <f>IFERROR(IF(tblInputSheet[[#This Row],[MVP]] = "-", "", tblInputSheet[[#This Row],[MVP]]), "")</f>
        <v>Y</v>
      </c>
      <c r="L50" s="8">
        <f>IFERROR(IF(tblInputSheet[[#This Row],[Count of Invocations]] = "", "", tblInputSheet[[#This Row],[Count of Invocations]]), "")</f>
        <v>1</v>
      </c>
      <c r="M50" s="18">
        <f>IFERROR(IF(tblInputSheet[[#This Row],[DB Calls (ms)]] = "", "", tblInputSheet[[#This Row],[DB Calls (ms)]]), "")</f>
        <v>0</v>
      </c>
      <c r="N50" s="18">
        <f>IFERROR(IF(tblInputSheet[[#This Row],[Logic (ms)]] = "", "", tblInputSheet[[#This Row],[Logic (ms)]]), "")</f>
        <v>50</v>
      </c>
      <c r="O50" s="18">
        <f>IFERROR(IF(tblInputSheet[[#This Row],[Rules (ms)]] = "", "", tblInputSheet[[#This Row],[Rules (ms)]]), "")</f>
        <v>0</v>
      </c>
      <c r="P50" s="18">
        <f>IFERROR(IF(tblInputSheet[[#This Row],[Latency (ms)]] = "", "", tblInputSheet[[#This Row],[Latency (ms)]]), "")</f>
        <v>0</v>
      </c>
      <c r="Q50" s="8">
        <f>IFERROR(SUM(tblDisplaySheet2[[#This Row],[DB Calls (ms)]:[Latency (ms)]]), "")</f>
        <v>50</v>
      </c>
      <c r="R50" s="8">
        <f>IFERROR(tblDisplaySheet[[#This Row],[Total Process Time]], "")</f>
        <v>50</v>
      </c>
      <c r="S50" s="8">
        <f>IFERROR(tblDisplaySheet[[#This Row],[Total Process Path Length]], "")</f>
        <v>50</v>
      </c>
      <c r="T50" s="8">
        <f>IFERROR(tblDisplaySheet[[#This Row],[Process NFR]], "")</f>
        <v>50</v>
      </c>
      <c r="U50" s="8">
        <f>IFERROR(tblDisplaySheet[[#This Row],[Total Process NFR]], "")</f>
        <v>50</v>
      </c>
      <c r="V50" s="8">
        <f>IFERROR(tblDisplaySheet[[#This Row],[Total Process Path Length NFR]], "")</f>
        <v>50</v>
      </c>
      <c r="W50" s="8">
        <f>IFERROR(tblDisplaySheet[[#This Row],[Difference]], "")</f>
        <v>0</v>
      </c>
      <c r="X50" s="8" t="str">
        <f>IFERROR(tblDisplaySheet[[#This Row],[Status]], "")</f>
        <v>On Target</v>
      </c>
      <c r="Y50" s="24" t="str">
        <f>IFERROR(tblDisplaySheet[[#This Row],[Is Leaf?]], "")</f>
        <v>Y</v>
      </c>
      <c r="Z50" s="24" t="str">
        <f>IFERROR(IF(tblInputSheet[[#This Row],[Owner]] = "", "", tblInputSheet[[#This Row],[Owner]]), "")</f>
        <v>Sankar</v>
      </c>
      <c r="AA50" s="24" t="str">
        <f>IFERROR(IF(tblInputSheet[[#This Row],[Notes]] = "", "", tblInputSheet[[#This Row],[Notes]]), "")</f>
        <v/>
      </c>
    </row>
    <row r="51" spans="1:27" hidden="1" x14ac:dyDescent="0.25">
      <c r="A51" s="9">
        <f>IFERROR(IF(tblInputSheet[[#This Row],[Level]] = "", "", tblInputSheet[[#This Row],[Level]]), "")</f>
        <v>7</v>
      </c>
      <c r="B51" s="9">
        <f>IFERROR(IF(tblInputSheet[[#This Row],[Sl.No]] = "", "", tblInputSheet[[#This Row],[Sl.No]]), "")</f>
        <v>49</v>
      </c>
      <c r="C51" s="9" t="str">
        <f>IFERROR(IF(tblInputSheet[[#This Row],[Group]] = "", "", tblInputSheet[[#This Row],[Group]]), "")</f>
        <v>Service Level - Pricing Engine</v>
      </c>
      <c r="D51" s="9" t="str">
        <f>IFERROR(IF(tblInputSheet[[#This Row],[Process]] = "", "", REPT("*",Demo!$A51)&amp;""&amp;tblInputSheet[[#This Row],[Process]]), "")</f>
        <v xml:space="preserve">*******Pricing </v>
      </c>
      <c r="E51" s="9" t="str">
        <f>IFERROR(IF(tblInputSheet[[#This Row],[Hosted Platform]] = "", "", tblInputSheet[[#This Row],[Hosted Platform]]), "")</f>
        <v>Business Process</v>
      </c>
      <c r="F51" s="9" t="str">
        <f>IFERROR(IF(tblInputSheet[[#This Row],[Provider]] = "-", "", tblInputSheet[[#This Row],[Provider]]), "")</f>
        <v>NA</v>
      </c>
      <c r="G51" s="9" t="str">
        <f>IFERROR(IF(tblInputSheet[[#This Row],[Consumer]] = "-", "", tblInputSheet[[#This Row],[Consumer]]), "")</f>
        <v>NA</v>
      </c>
      <c r="H51" s="9" t="str">
        <f>IFERROR(IF(tblInputSheet[[#This Row],[Integration Pattern]] = "-", "", tblInputSheet[[#This Row],[Integration Pattern]]), "")</f>
        <v>Group</v>
      </c>
      <c r="I51" s="9" t="str">
        <f>IFERROR(IF(tblInputSheet[[#This Row],[Current State]] = "-", "", tblInputSheet[[#This Row],[Current State]]), "")</f>
        <v>Y</v>
      </c>
      <c r="J51" s="9" t="str">
        <f>IFERROR(IF(tblInputSheet[[#This Row],[End State]] = "-", "", tblInputSheet[[#This Row],[End State]]), "")</f>
        <v>Y</v>
      </c>
      <c r="K51" s="9" t="str">
        <f>IFERROR(IF(tblInputSheet[[#This Row],[MVP]] = "-", "", tblInputSheet[[#This Row],[MVP]]), "")</f>
        <v>Y</v>
      </c>
      <c r="L51" s="8">
        <f>IFERROR(IF(tblInputSheet[[#This Row],[Count of Invocations]] = "", "", tblInputSheet[[#This Row],[Count of Invocations]]), "")</f>
        <v>1</v>
      </c>
      <c r="M51" s="18">
        <f>IFERROR(IF(tblInputSheet[[#This Row],[DB Calls (ms)]] = "", "", tblInputSheet[[#This Row],[DB Calls (ms)]]), "")</f>
        <v>0</v>
      </c>
      <c r="N51" s="18">
        <f>IFERROR(IF(tblInputSheet[[#This Row],[Logic (ms)]] = "", "", tblInputSheet[[#This Row],[Logic (ms)]]), "")</f>
        <v>0</v>
      </c>
      <c r="O51" s="18">
        <f>IFERROR(IF(tblInputSheet[[#This Row],[Rules (ms)]] = "", "", tblInputSheet[[#This Row],[Rules (ms)]]), "")</f>
        <v>0</v>
      </c>
      <c r="P51" s="18">
        <f>IFERROR(IF(tblInputSheet[[#This Row],[Latency (ms)]] = "", "", tblInputSheet[[#This Row],[Latency (ms)]]), "")</f>
        <v>0</v>
      </c>
      <c r="Q51" s="8">
        <f>IFERROR(SUM(tblDisplaySheet2[[#This Row],[DB Calls (ms)]:[Latency (ms)]]), "")</f>
        <v>0</v>
      </c>
      <c r="R51" s="8">
        <f>IFERROR(tblDisplaySheet[[#This Row],[Total Process Time]], "")</f>
        <v>0</v>
      </c>
      <c r="S51" s="8">
        <f>IFERROR(tblDisplaySheet[[#This Row],[Total Process Path Length]], "")</f>
        <v>2535</v>
      </c>
      <c r="T51" s="8">
        <f>IFERROR(tblDisplaySheet[[#This Row],[Process NFR]], "")</f>
        <v>0</v>
      </c>
      <c r="U51" s="8">
        <f>IFERROR(tblDisplaySheet[[#This Row],[Total Process NFR]], "")</f>
        <v>0</v>
      </c>
      <c r="V51" s="8">
        <f>IFERROR(tblDisplaySheet[[#This Row],[Total Process Path Length NFR]], "")</f>
        <v>2672</v>
      </c>
      <c r="W51" s="8">
        <f>IFERROR(tblDisplaySheet[[#This Row],[Difference]], "")</f>
        <v>137</v>
      </c>
      <c r="X51" s="8" t="str">
        <f>IFERROR(tblDisplaySheet[[#This Row],[Status]], "")</f>
        <v>On Target</v>
      </c>
      <c r="Y51" s="24" t="str">
        <f>IFERROR(tblDisplaySheet[[#This Row],[Is Leaf?]], "")</f>
        <v>G</v>
      </c>
      <c r="Z51" s="24" t="str">
        <f>IFERROR(IF(tblInputSheet[[#This Row],[Owner]] = "", "", tblInputSheet[[#This Row],[Owner]]), "")</f>
        <v>Alak</v>
      </c>
      <c r="AA51" s="24" t="str">
        <f>IFERROR(IF(tblInputSheet[[#This Row],[Notes]] = "", "", tblInputSheet[[#This Row],[Notes]]), "")</f>
        <v/>
      </c>
    </row>
    <row r="52" spans="1:27" hidden="1" x14ac:dyDescent="0.25">
      <c r="A52" s="9">
        <f>IFERROR(IF(tblInputSheet[[#This Row],[Level]] = "", "", tblInputSheet[[#This Row],[Level]]), "")</f>
        <v>8</v>
      </c>
      <c r="B52" s="9">
        <f>IFERROR(IF(tblInputSheet[[#This Row],[Sl.No]] = "", "", tblInputSheet[[#This Row],[Sl.No]]), "")</f>
        <v>50</v>
      </c>
      <c r="C52" s="9" t="str">
        <f>IFERROR(IF(tblInputSheet[[#This Row],[Group]] = "", "", tblInputSheet[[#This Row],[Group]]), "")</f>
        <v>Service Level - Pricing Engine</v>
      </c>
      <c r="D52" s="9" t="str">
        <f>IFERROR(IF(tblInputSheet[[#This Row],[Process]] = "", "", REPT("*",Demo!$A52)&amp;""&amp;tblInputSheet[[#This Row],[Process]]), "")</f>
        <v>********Pricing Engine Microservice</v>
      </c>
      <c r="E52" s="9" t="str">
        <f>IFERROR(IF(tblInputSheet[[#This Row],[Hosted Platform]] = "", "", tblInputSheet[[#This Row],[Hosted Platform]]), "")</f>
        <v>PCF</v>
      </c>
      <c r="F52" s="9" t="str">
        <f>IFERROR(IF(tblInputSheet[[#This Row],[Provider]] = "-", "", tblInputSheet[[#This Row],[Provider]]), "")</f>
        <v>Key-Claims Adjudication</v>
      </c>
      <c r="G52" s="9" t="str">
        <f>IFERROR(IF(tblInputSheet[[#This Row],[Consumer]] = "-", "", tblInputSheet[[#This Row],[Consumer]]), "")</f>
        <v>Key-Claims Adjudication</v>
      </c>
      <c r="H52" s="9" t="str">
        <f>IFERROR(IF(tblInputSheet[[#This Row],[Integration Pattern]] = "-", "", tblInputSheet[[#This Row],[Integration Pattern]]), "")</f>
        <v>PCF Internal (C-to-C)</v>
      </c>
      <c r="I52" s="9" t="str">
        <f>IFERROR(IF(tblInputSheet[[#This Row],[Current State]] = "-", "", tblInputSheet[[#This Row],[Current State]]), "")</f>
        <v>Y</v>
      </c>
      <c r="J52" s="9" t="str">
        <f>IFERROR(IF(tblInputSheet[[#This Row],[End State]] = "-", "", tblInputSheet[[#This Row],[End State]]), "")</f>
        <v>Y</v>
      </c>
      <c r="K52" s="9" t="str">
        <f>IFERROR(IF(tblInputSheet[[#This Row],[MVP]] = "-", "", tblInputSheet[[#This Row],[MVP]]), "")</f>
        <v>Y</v>
      </c>
      <c r="L52" s="8">
        <f>IFERROR(IF(tblInputSheet[[#This Row],[Count of Invocations]] = "", "", tblInputSheet[[#This Row],[Count of Invocations]]), "")</f>
        <v>1</v>
      </c>
      <c r="M52" s="18">
        <f>IFERROR(IF(tblInputSheet[[#This Row],[DB Calls (ms)]] = "", "", tblInputSheet[[#This Row],[DB Calls (ms)]]), "")</f>
        <v>0</v>
      </c>
      <c r="N52" s="18">
        <f>IFERROR(IF(tblInputSheet[[#This Row],[Logic (ms)]] = "", "", tblInputSheet[[#This Row],[Logic (ms)]]), "")</f>
        <v>500</v>
      </c>
      <c r="O52" s="18">
        <f>IFERROR(IF(tblInputSheet[[#This Row],[Rules (ms)]] = "", "", tblInputSheet[[#This Row],[Rules (ms)]]), "")</f>
        <v>0</v>
      </c>
      <c r="P52" s="18">
        <f>IFERROR(IF(tblInputSheet[[#This Row],[Latency (ms)]] = "", "", tblInputSheet[[#This Row],[Latency (ms)]]), "")</f>
        <v>5</v>
      </c>
      <c r="Q52" s="8">
        <f>IFERROR(SUM(tblDisplaySheet2[[#This Row],[DB Calls (ms)]:[Latency (ms)]]), "")</f>
        <v>505</v>
      </c>
      <c r="R52" s="8">
        <f>IFERROR(tblDisplaySheet[[#This Row],[Total Process Time]], "")</f>
        <v>505</v>
      </c>
      <c r="S52" s="8">
        <f>IFERROR(tblDisplaySheet[[#This Row],[Total Process Path Length]], "")</f>
        <v>2535</v>
      </c>
      <c r="T52" s="8">
        <f>IFERROR(tblDisplaySheet[[#This Row],[Process NFR]], "")</f>
        <v>500</v>
      </c>
      <c r="U52" s="8">
        <f>IFERROR(tblDisplaySheet[[#This Row],[Total Process NFR]], "")</f>
        <v>500</v>
      </c>
      <c r="V52" s="8">
        <f>IFERROR(tblDisplaySheet[[#This Row],[Total Process Path Length NFR]], "")</f>
        <v>2672</v>
      </c>
      <c r="W52" s="8">
        <f>IFERROR(tblDisplaySheet[[#This Row],[Difference]], "")</f>
        <v>137</v>
      </c>
      <c r="X52" s="8" t="str">
        <f>IFERROR(tblDisplaySheet[[#This Row],[Status]], "")</f>
        <v>On Target</v>
      </c>
      <c r="Y52" s="24" t="str">
        <f>IFERROR(tblDisplaySheet[[#This Row],[Is Leaf?]], "")</f>
        <v>N</v>
      </c>
      <c r="Z52" s="24" t="str">
        <f>IFERROR(IF(tblInputSheet[[#This Row],[Owner]] = "", "", tblInputSheet[[#This Row],[Owner]]), "")</f>
        <v>Alak</v>
      </c>
      <c r="AA52" s="24" t="str">
        <f>IFERROR(IF(tblInputSheet[[#This Row],[Notes]] = "", "", tblInputSheet[[#This Row],[Notes]]), "")</f>
        <v/>
      </c>
    </row>
    <row r="53" spans="1:27" ht="14.25" hidden="1" customHeight="1" x14ac:dyDescent="0.25">
      <c r="A53" s="9">
        <f>IFERROR(IF(tblInputSheet[[#This Row],[Level]] = "", "", tblInputSheet[[#This Row],[Level]]), "")</f>
        <v>9</v>
      </c>
      <c r="B53" s="9">
        <f>IFERROR(IF(tblInputSheet[[#This Row],[Sl.No]] = "", "", tblInputSheet[[#This Row],[Sl.No]]), "")</f>
        <v>51</v>
      </c>
      <c r="C53" s="9" t="str">
        <f>IFERROR(IF(tblInputSheet[[#This Row],[Group]] = "", "", tblInputSheet[[#This Row],[Group]]), "")</f>
        <v>Service Level - Pricing Engine</v>
      </c>
      <c r="D53" s="9" t="str">
        <f>IFERROR(IF(tblInputSheet[[#This Row],[Process]] = "", "", REPT("*",Demo!$A53)&amp;""&amp;tblInputSheet[[#This Row],[Process]]), "")</f>
        <v>*********Reference Lookup Microservice</v>
      </c>
      <c r="E53" s="9" t="str">
        <f>IFERROR(IF(tblInputSheet[[#This Row],[Hosted Platform]] = "", "", tblInputSheet[[#This Row],[Hosted Platform]]), "")</f>
        <v>PCF</v>
      </c>
      <c r="F53" s="9" t="str">
        <f>IFERROR(IF(tblInputSheet[[#This Row],[Provider]] = "-", "", tblInputSheet[[#This Row],[Provider]]), "")</f>
        <v>Key-Claims Adjudication</v>
      </c>
      <c r="G53" s="9" t="str">
        <f>IFERROR(IF(tblInputSheet[[#This Row],[Consumer]] = "-", "", tblInputSheet[[#This Row],[Consumer]]), "")</f>
        <v>Key-Claims Adjudication</v>
      </c>
      <c r="H53" s="9" t="str">
        <f>IFERROR(IF(tblInputSheet[[#This Row],[Integration Pattern]] = "-", "", tblInputSheet[[#This Row],[Integration Pattern]]), "")</f>
        <v>PCF Internal (C-to-C)</v>
      </c>
      <c r="I53" s="9" t="str">
        <f>IFERROR(IF(tblInputSheet[[#This Row],[Current State]] = "-", "", tblInputSheet[[#This Row],[Current State]]), "")</f>
        <v>Y</v>
      </c>
      <c r="J53" s="9" t="str">
        <f>IFERROR(IF(tblInputSheet[[#This Row],[End State]] = "-", "", tblInputSheet[[#This Row],[End State]]), "")</f>
        <v>Y</v>
      </c>
      <c r="K53" s="9" t="str">
        <f>IFERROR(IF(tblInputSheet[[#This Row],[MVP]] = "-", "", tblInputSheet[[#This Row],[MVP]]), "")</f>
        <v>Y</v>
      </c>
      <c r="L53" s="8">
        <f>IFERROR(IF(tblInputSheet[[#This Row],[Count of Invocations]] = "", "", tblInputSheet[[#This Row],[Count of Invocations]]), "")</f>
        <v>1</v>
      </c>
      <c r="M53" s="18">
        <f>IFERROR(IF(tblInputSheet[[#This Row],[DB Calls (ms)]] = "", "", tblInputSheet[[#This Row],[DB Calls (ms)]]), "")</f>
        <v>1</v>
      </c>
      <c r="N53" s="18">
        <f>IFERROR(IF(tblInputSheet[[#This Row],[Logic (ms)]] = "", "", tblInputSheet[[#This Row],[Logic (ms)]]), "")</f>
        <v>5</v>
      </c>
      <c r="O53" s="18">
        <f>IFERROR(IF(tblInputSheet[[#This Row],[Rules (ms)]] = "", "", tblInputSheet[[#This Row],[Rules (ms)]]), "")</f>
        <v>0</v>
      </c>
      <c r="P53" s="18">
        <f>IFERROR(IF(tblInputSheet[[#This Row],[Latency (ms)]] = "", "", tblInputSheet[[#This Row],[Latency (ms)]]), "")</f>
        <v>5</v>
      </c>
      <c r="Q53" s="8">
        <f>IFERROR(SUM(tblDisplaySheet2[[#This Row],[DB Calls (ms)]:[Latency (ms)]]), "")</f>
        <v>11</v>
      </c>
      <c r="R53" s="8">
        <f>IFERROR(tblDisplaySheet[[#This Row],[Total Process Time]], "")</f>
        <v>11</v>
      </c>
      <c r="S53" s="8">
        <f>IFERROR(tblDisplaySheet[[#This Row],[Total Process Path Length]], "")</f>
        <v>11</v>
      </c>
      <c r="T53" s="8">
        <f>IFERROR(tblDisplaySheet[[#This Row],[Process NFR]], "")</f>
        <v>30</v>
      </c>
      <c r="U53" s="8">
        <f>IFERROR(tblDisplaySheet[[#This Row],[Total Process NFR]], "")</f>
        <v>30</v>
      </c>
      <c r="V53" s="8">
        <f>IFERROR(tblDisplaySheet[[#This Row],[Total Process Path Length NFR]], "")</f>
        <v>30</v>
      </c>
      <c r="W53" s="8">
        <f>IFERROR(tblDisplaySheet[[#This Row],[Difference]], "")</f>
        <v>19</v>
      </c>
      <c r="X53" s="8" t="str">
        <f>IFERROR(tblDisplaySheet[[#This Row],[Status]], "")</f>
        <v>On Target</v>
      </c>
      <c r="Y53" s="24" t="str">
        <f>IFERROR(tblDisplaySheet[[#This Row],[Is Leaf?]], "")</f>
        <v>Y</v>
      </c>
      <c r="Z53" s="24" t="str">
        <f>IFERROR(IF(tblInputSheet[[#This Row],[Owner]] = "", "", tblInputSheet[[#This Row],[Owner]]), "")</f>
        <v>Alak</v>
      </c>
      <c r="AA53" s="24" t="str">
        <f>IFERROR(IF(tblInputSheet[[#This Row],[Notes]] = "", "", tblInputSheet[[#This Row],[Notes]]), "")</f>
        <v/>
      </c>
    </row>
    <row r="54" spans="1:27" ht="14.25" hidden="1" customHeight="1" x14ac:dyDescent="0.25">
      <c r="A54" s="9">
        <f>IFERROR(IF(tblInputSheet[[#This Row],[Level]] = "", "", tblInputSheet[[#This Row],[Level]]), "")</f>
        <v>9</v>
      </c>
      <c r="B54" s="9">
        <f>IFERROR(IF(tblInputSheet[[#This Row],[Sl.No]] = "", "", tblInputSheet[[#This Row],[Sl.No]]), "")</f>
        <v>52</v>
      </c>
      <c r="C54" s="9" t="str">
        <f>IFERROR(IF(tblInputSheet[[#This Row],[Group]] = "", "", tblInputSheet[[#This Row],[Group]]), "")</f>
        <v>Service Level - Pricing Engine</v>
      </c>
      <c r="D54" s="9" t="str">
        <f>IFERROR(IF(tblInputSheet[[#This Row],[Process]] = "", "", REPT("*",Demo!$A54)&amp;""&amp;tblInputSheet[[#This Row],[Process]]), "")</f>
        <v>*********Claim Provider Service</v>
      </c>
      <c r="E54" s="9" t="str">
        <f>IFERROR(IF(tblInputSheet[[#This Row],[Hosted Platform]] = "", "", tblInputSheet[[#This Row],[Hosted Platform]]), "")</f>
        <v>PCF</v>
      </c>
      <c r="F54" s="9" t="str">
        <f>IFERROR(IF(tblInputSheet[[#This Row],[Provider]] = "-", "", tblInputSheet[[#This Row],[Provider]]), "")</f>
        <v>Key-Claims Adjudication</v>
      </c>
      <c r="G54" s="9" t="str">
        <f>IFERROR(IF(tblInputSheet[[#This Row],[Consumer]] = "-", "", tblInputSheet[[#This Row],[Consumer]]), "")</f>
        <v>Key-Claims Adjudication</v>
      </c>
      <c r="H54" s="9" t="str">
        <f>IFERROR(IF(tblInputSheet[[#This Row],[Integration Pattern]] = "-", "", tblInputSheet[[#This Row],[Integration Pattern]]), "")</f>
        <v>PCF Internal (C-to-C)</v>
      </c>
      <c r="I54" s="9" t="str">
        <f>IFERROR(IF(tblInputSheet[[#This Row],[Current State]] = "-", "", tblInputSheet[[#This Row],[Current State]]), "")</f>
        <v>Y</v>
      </c>
      <c r="J54" s="9" t="str">
        <f>IFERROR(IF(tblInputSheet[[#This Row],[End State]] = "-", "", tblInputSheet[[#This Row],[End State]]), "")</f>
        <v>Y</v>
      </c>
      <c r="K54" s="9" t="str">
        <f>IFERROR(IF(tblInputSheet[[#This Row],[MVP]] = "-", "", tblInputSheet[[#This Row],[MVP]]), "")</f>
        <v>Y</v>
      </c>
      <c r="L54" s="8">
        <f>IFERROR(IF(tblInputSheet[[#This Row],[Count of Invocations]] = "", "", tblInputSheet[[#This Row],[Count of Invocations]]), "")</f>
        <v>1</v>
      </c>
      <c r="M54" s="18">
        <f>IFERROR(IF(tblInputSheet[[#This Row],[DB Calls (ms)]] = "", "", tblInputSheet[[#This Row],[DB Calls (ms)]]), "")</f>
        <v>1</v>
      </c>
      <c r="N54" s="18">
        <f>IFERROR(IF(tblInputSheet[[#This Row],[Logic (ms)]] = "", "", tblInputSheet[[#This Row],[Logic (ms)]]), "")</f>
        <v>40</v>
      </c>
      <c r="O54" s="18">
        <f>IFERROR(IF(tblInputSheet[[#This Row],[Rules (ms)]] = "", "", tblInputSheet[[#This Row],[Rules (ms)]]), "")</f>
        <v>0</v>
      </c>
      <c r="P54" s="18">
        <f>IFERROR(IF(tblInputSheet[[#This Row],[Latency (ms)]] = "", "", tblInputSheet[[#This Row],[Latency (ms)]]), "")</f>
        <v>15</v>
      </c>
      <c r="Q54" s="8">
        <f>IFERROR(SUM(tblDisplaySheet2[[#This Row],[DB Calls (ms)]:[Latency (ms)]]), "")</f>
        <v>56</v>
      </c>
      <c r="R54" s="8">
        <f>IFERROR(tblDisplaySheet[[#This Row],[Total Process Time]], "")</f>
        <v>56</v>
      </c>
      <c r="S54" s="8">
        <f>IFERROR(tblDisplaySheet[[#This Row],[Total Process Path Length]], "")</f>
        <v>56</v>
      </c>
      <c r="T54" s="8">
        <f>IFERROR(tblDisplaySheet[[#This Row],[Process NFR]], "")</f>
        <v>65</v>
      </c>
      <c r="U54" s="8">
        <f>IFERROR(tblDisplaySheet[[#This Row],[Total Process NFR]], "")</f>
        <v>65</v>
      </c>
      <c r="V54" s="8">
        <f>IFERROR(tblDisplaySheet[[#This Row],[Total Process Path Length NFR]], "")</f>
        <v>65</v>
      </c>
      <c r="W54" s="8">
        <f>IFERROR(tblDisplaySheet[[#This Row],[Difference]], "")</f>
        <v>9</v>
      </c>
      <c r="X54" s="8" t="str">
        <f>IFERROR(tblDisplaySheet[[#This Row],[Status]], "")</f>
        <v>On Target</v>
      </c>
      <c r="Y54" s="24" t="str">
        <f>IFERROR(tblDisplaySheet[[#This Row],[Is Leaf?]], "")</f>
        <v>Y</v>
      </c>
      <c r="Z54" s="24" t="str">
        <f>IFERROR(IF(tblInputSheet[[#This Row],[Owner]] = "", "", tblInputSheet[[#This Row],[Owner]]), "")</f>
        <v>Alak</v>
      </c>
      <c r="AA54" s="24" t="str">
        <f>IFERROR(IF(tblInputSheet[[#This Row],[Notes]] = "", "", tblInputSheet[[#This Row],[Notes]]), "")</f>
        <v/>
      </c>
    </row>
    <row r="55" spans="1:27" hidden="1" x14ac:dyDescent="0.25">
      <c r="A55" s="9">
        <f>IFERROR(IF(tblInputSheet[[#This Row],[Level]] = "", "", tblInputSheet[[#This Row],[Level]]), "")</f>
        <v>9</v>
      </c>
      <c r="B55" s="9">
        <f>IFERROR(IF(tblInputSheet[[#This Row],[Sl.No]] = "", "", tblInputSheet[[#This Row],[Sl.No]]), "")</f>
        <v>53</v>
      </c>
      <c r="C55" s="9" t="str">
        <f>IFERROR(IF(tblInputSheet[[#This Row],[Group]] = "", "", tblInputSheet[[#This Row],[Group]]), "")</f>
        <v>Service Level - Pricing Engine</v>
      </c>
      <c r="D55" s="9" t="str">
        <f>IFERROR(IF(tblInputSheet[[#This Row],[Process]] = "", "", REPT("*",Demo!$A55)&amp;""&amp;tblInputSheet[[#This Row],[Process]]), "")</f>
        <v>*********Contract API</v>
      </c>
      <c r="E55" s="9" t="str">
        <f>IFERROR(IF(tblInputSheet[[#This Row],[Hosted Platform]] = "", "", tblInputSheet[[#This Row],[Hosted Platform]]), "")</f>
        <v>PCF</v>
      </c>
      <c r="F55" s="9" t="str">
        <f>IFERROR(IF(tblInputSheet[[#This Row],[Provider]] = "-", "", tblInputSheet[[#This Row],[Provider]]), "")</f>
        <v>Key-Claims Adjudication</v>
      </c>
      <c r="G55" s="9" t="str">
        <f>IFERROR(IF(tblInputSheet[[#This Row],[Consumer]] = "-", "", tblInputSheet[[#This Row],[Consumer]]), "")</f>
        <v>Key-Claims Adjudication</v>
      </c>
      <c r="H55" s="9" t="str">
        <f>IFERROR(IF(tblInputSheet[[#This Row],[Integration Pattern]] = "-", "", tblInputSheet[[#This Row],[Integration Pattern]]), "")</f>
        <v>PCF Internal (C-to-C)</v>
      </c>
      <c r="I55" s="9" t="str">
        <f>IFERROR(IF(tblInputSheet[[#This Row],[Current State]] = "-", "", tblInputSheet[[#This Row],[Current State]]), "")</f>
        <v>Y</v>
      </c>
      <c r="J55" s="9" t="str">
        <f>IFERROR(IF(tblInputSheet[[#This Row],[End State]] = "-", "", tblInputSheet[[#This Row],[End State]]), "")</f>
        <v>Y</v>
      </c>
      <c r="K55" s="9" t="str">
        <f>IFERROR(IF(tblInputSheet[[#This Row],[MVP]] = "-", "", tblInputSheet[[#This Row],[MVP]]), "")</f>
        <v>Y</v>
      </c>
      <c r="L55" s="8">
        <f>IFERROR(IF(tblInputSheet[[#This Row],[Count of Invocations]] = "", "", tblInputSheet[[#This Row],[Count of Invocations]]), "")</f>
        <v>1</v>
      </c>
      <c r="M55" s="18">
        <f>IFERROR(IF(tblInputSheet[[#This Row],[DB Calls (ms)]] = "", "", tblInputSheet[[#This Row],[DB Calls (ms)]]), "")</f>
        <v>5</v>
      </c>
      <c r="N55" s="18">
        <f>IFERROR(IF(tblInputSheet[[#This Row],[Logic (ms)]] = "", "", tblInputSheet[[#This Row],[Logic (ms)]]), "")</f>
        <v>30</v>
      </c>
      <c r="O55" s="18">
        <f>IFERROR(IF(tblInputSheet[[#This Row],[Rules (ms)]] = "", "", tblInputSheet[[#This Row],[Rules (ms)]]), "")</f>
        <v>0</v>
      </c>
      <c r="P55" s="18">
        <f>IFERROR(IF(tblInputSheet[[#This Row],[Latency (ms)]] = "", "", tblInputSheet[[#This Row],[Latency (ms)]]), "")</f>
        <v>10</v>
      </c>
      <c r="Q55" s="8">
        <f>IFERROR(SUM(tblDisplaySheet2[[#This Row],[DB Calls (ms)]:[Latency (ms)]]), "")</f>
        <v>45</v>
      </c>
      <c r="R55" s="8">
        <f>IFERROR(tblDisplaySheet[[#This Row],[Total Process Time]], "")</f>
        <v>45</v>
      </c>
      <c r="S55" s="8">
        <f>IFERROR(tblDisplaySheet[[#This Row],[Total Process Path Length]], "")</f>
        <v>45</v>
      </c>
      <c r="T55" s="8">
        <f>IFERROR(tblDisplaySheet[[#This Row],[Process NFR]], "")</f>
        <v>50</v>
      </c>
      <c r="U55" s="8">
        <f>IFERROR(tblDisplaySheet[[#This Row],[Total Process NFR]], "")</f>
        <v>50</v>
      </c>
      <c r="V55" s="8">
        <f>IFERROR(tblDisplaySheet[[#This Row],[Total Process Path Length NFR]], "")</f>
        <v>50</v>
      </c>
      <c r="W55" s="8">
        <f>IFERROR(tblDisplaySheet[[#This Row],[Difference]], "")</f>
        <v>5</v>
      </c>
      <c r="X55" s="8" t="str">
        <f>IFERROR(tblDisplaySheet[[#This Row],[Status]], "")</f>
        <v>On Target</v>
      </c>
      <c r="Y55" s="24" t="str">
        <f>IFERROR(tblDisplaySheet[[#This Row],[Is Leaf?]], "")</f>
        <v>Y</v>
      </c>
      <c r="Z55" s="24" t="str">
        <f>IFERROR(IF(tblInputSheet[[#This Row],[Owner]] = "", "", tblInputSheet[[#This Row],[Owner]]), "")</f>
        <v>Greg</v>
      </c>
      <c r="AA55" s="24" t="str">
        <f>IFERROR(IF(tblInputSheet[[#This Row],[Notes]] = "", "", tblInputSheet[[#This Row],[Notes]]), "")</f>
        <v/>
      </c>
    </row>
    <row r="56" spans="1:27" hidden="1" x14ac:dyDescent="0.25">
      <c r="A56" s="9">
        <f>IFERROR(IF(tblInputSheet[[#This Row],[Level]] = "", "", tblInputSheet[[#This Row],[Level]]), "")</f>
        <v>9</v>
      </c>
      <c r="B56" s="9">
        <f>IFERROR(IF(tblInputSheet[[#This Row],[Sl.No]] = "", "", tblInputSheet[[#This Row],[Sl.No]]), "")</f>
        <v>54</v>
      </c>
      <c r="C56" s="9" t="str">
        <f>IFERROR(IF(tblInputSheet[[#This Row],[Group]] = "", "", tblInputSheet[[#This Row],[Group]]), "")</f>
        <v>Service Level - Pricing Engine</v>
      </c>
      <c r="D56" s="9" t="str">
        <f>IFERROR(IF(tblInputSheet[[#This Row],[Process]] = "", "", REPT("*",Demo!$A56)&amp;""&amp;tblInputSheet[[#This Row],[Process]]), "")</f>
        <v>*********Claim Pricer Service</v>
      </c>
      <c r="E56" s="9" t="str">
        <f>IFERROR(IF(tblInputSheet[[#This Row],[Hosted Platform]] = "", "", tblInputSheet[[#This Row],[Hosted Platform]]), "")</f>
        <v>PCF</v>
      </c>
      <c r="F56" s="9" t="str">
        <f>IFERROR(IF(tblInputSheet[[#This Row],[Provider]] = "-", "", tblInputSheet[[#This Row],[Provider]]), "")</f>
        <v>Key-Claims Adjudication</v>
      </c>
      <c r="G56" s="9" t="str">
        <f>IFERROR(IF(tblInputSheet[[#This Row],[Consumer]] = "-", "", tblInputSheet[[#This Row],[Consumer]]), "")</f>
        <v>Key-Claims Adjudication</v>
      </c>
      <c r="H56" s="9" t="str">
        <f>IFERROR(IF(tblInputSheet[[#This Row],[Integration Pattern]] = "-", "", tblInputSheet[[#This Row],[Integration Pattern]]), "")</f>
        <v>PCF Internal (C-to-C)</v>
      </c>
      <c r="I56" s="9" t="str">
        <f>IFERROR(IF(tblInputSheet[[#This Row],[Current State]] = "-", "", tblInputSheet[[#This Row],[Current State]]), "")</f>
        <v>Y</v>
      </c>
      <c r="J56" s="9" t="str">
        <f>IFERROR(IF(tblInputSheet[[#This Row],[End State]] = "-", "", tblInputSheet[[#This Row],[End State]]), "")</f>
        <v>Y</v>
      </c>
      <c r="K56" s="9" t="str">
        <f>IFERROR(IF(tblInputSheet[[#This Row],[MVP]] = "-", "", tblInputSheet[[#This Row],[MVP]]), "")</f>
        <v>Y</v>
      </c>
      <c r="L56" s="8">
        <f>IFERROR(IF(tblInputSheet[[#This Row],[Count of Invocations]] = "", "", tblInputSheet[[#This Row],[Count of Invocations]]), "")</f>
        <v>1</v>
      </c>
      <c r="M56" s="18">
        <f>IFERROR(IF(tblInputSheet[[#This Row],[DB Calls (ms)]] = "", "", tblInputSheet[[#This Row],[DB Calls (ms)]]), "")</f>
        <v>1</v>
      </c>
      <c r="N56" s="18">
        <f>IFERROR(IF(tblInputSheet[[#This Row],[Logic (ms)]] = "", "", tblInputSheet[[#This Row],[Logic (ms)]]), "")</f>
        <v>10</v>
      </c>
      <c r="O56" s="18">
        <f>IFERROR(IF(tblInputSheet[[#This Row],[Rules (ms)]] = "", "", tblInputSheet[[#This Row],[Rules (ms)]]), "")</f>
        <v>0</v>
      </c>
      <c r="P56" s="18">
        <f>IFERROR(IF(tblInputSheet[[#This Row],[Latency (ms)]] = "", "", tblInputSheet[[#This Row],[Latency (ms)]]), "")</f>
        <v>15</v>
      </c>
      <c r="Q56" s="8">
        <f>IFERROR(SUM(tblDisplaySheet2[[#This Row],[DB Calls (ms)]:[Latency (ms)]]), "")</f>
        <v>26</v>
      </c>
      <c r="R56" s="8">
        <f>IFERROR(tblDisplaySheet[[#This Row],[Total Process Time]], "")</f>
        <v>26</v>
      </c>
      <c r="S56" s="8">
        <f>IFERROR(tblDisplaySheet[[#This Row],[Total Process Path Length]], "")</f>
        <v>61</v>
      </c>
      <c r="T56" s="8">
        <f>IFERROR(tblDisplaySheet[[#This Row],[Process NFR]], "")</f>
        <v>50</v>
      </c>
      <c r="U56" s="8">
        <f>IFERROR(tblDisplaySheet[[#This Row],[Total Process NFR]], "")</f>
        <v>50</v>
      </c>
      <c r="V56" s="8">
        <f>IFERROR(tblDisplaySheet[[#This Row],[Total Process Path Length NFR]], "")</f>
        <v>100</v>
      </c>
      <c r="W56" s="8">
        <f>IFERROR(tblDisplaySheet[[#This Row],[Difference]], "")</f>
        <v>39</v>
      </c>
      <c r="X56" s="8" t="str">
        <f>IFERROR(tblDisplaySheet[[#This Row],[Status]], "")</f>
        <v>On Target</v>
      </c>
      <c r="Y56" s="24" t="str">
        <f>IFERROR(tblDisplaySheet[[#This Row],[Is Leaf?]], "")</f>
        <v>N</v>
      </c>
      <c r="Z56" s="24" t="str">
        <f>IFERROR(IF(tblInputSheet[[#This Row],[Owner]] = "", "", tblInputSheet[[#This Row],[Owner]]), "")</f>
        <v>Alak</v>
      </c>
      <c r="AA56" s="24" t="str">
        <f>IFERROR(IF(tblInputSheet[[#This Row],[Notes]] = "", "", tblInputSheet[[#This Row],[Notes]]), "")</f>
        <v/>
      </c>
    </row>
    <row r="57" spans="1:27" hidden="1" x14ac:dyDescent="0.25">
      <c r="A57" s="9">
        <f>IFERROR(IF(tblInputSheet[[#This Row],[Level]] = "", "", tblInputSheet[[#This Row],[Level]]), "")</f>
        <v>10</v>
      </c>
      <c r="B57" s="9">
        <f>IFERROR(IF(tblInputSheet[[#This Row],[Sl.No]] = "", "", tblInputSheet[[#This Row],[Sl.No]]), "")</f>
        <v>55</v>
      </c>
      <c r="C57" s="9" t="str">
        <f>IFERROR(IF(tblInputSheet[[#This Row],[Group]] = "", "", tblInputSheet[[#This Row],[Group]]), "")</f>
        <v>Service Level - Pricing Engine</v>
      </c>
      <c r="D57" s="9" t="str">
        <f>IFERROR(IF(tblInputSheet[[#This Row],[Process]] = "", "", REPT("*",Demo!$A57)&amp;""&amp;tblInputSheet[[#This Row],[Process]]), "")</f>
        <v>**********Primier Pricer API</v>
      </c>
      <c r="E57" s="9" t="str">
        <f>IFERROR(IF(tblInputSheet[[#This Row],[Hosted Platform]] = "", "", tblInputSheet[[#This Row],[Hosted Platform]]), "")</f>
        <v>PCF</v>
      </c>
      <c r="F57" s="9" t="str">
        <f>IFERROR(IF(tblInputSheet[[#This Row],[Provider]] = "-", "", tblInputSheet[[#This Row],[Provider]]), "")</f>
        <v>Provider</v>
      </c>
      <c r="G57" s="9" t="str">
        <f>IFERROR(IF(tblInputSheet[[#This Row],[Consumer]] = "-", "", tblInputSheet[[#This Row],[Consumer]]), "")</f>
        <v>Key-Claims Adjudication</v>
      </c>
      <c r="H57" s="9" t="str">
        <f>IFERROR(IF(tblInputSheet[[#This Row],[Integration Pattern]] = "-", "", tblInputSheet[[#This Row],[Integration Pattern]]), "")</f>
        <v>REST Service - API</v>
      </c>
      <c r="I57" s="9" t="str">
        <f>IFERROR(IF(tblInputSheet[[#This Row],[Current State]] = "-", "", tblInputSheet[[#This Row],[Current State]]), "")</f>
        <v>Y</v>
      </c>
      <c r="J57" s="9" t="str">
        <f>IFERROR(IF(tblInputSheet[[#This Row],[End State]] = "-", "", tblInputSheet[[#This Row],[End State]]), "")</f>
        <v>Y</v>
      </c>
      <c r="K57" s="9" t="str">
        <f>IFERROR(IF(tblInputSheet[[#This Row],[MVP]] = "-", "", tblInputSheet[[#This Row],[MVP]]), "")</f>
        <v>Y</v>
      </c>
      <c r="L57" s="8">
        <f>IFERROR(IF(tblInputSheet[[#This Row],[Count of Invocations]] = "", "", tblInputSheet[[#This Row],[Count of Invocations]]), "")</f>
        <v>1</v>
      </c>
      <c r="M57" s="18">
        <f>IFERROR(IF(tblInputSheet[[#This Row],[DB Calls (ms)]] = "", "", tblInputSheet[[#This Row],[DB Calls (ms)]]), "")</f>
        <v>0</v>
      </c>
      <c r="N57" s="18">
        <f>IFERROR(IF(tblInputSheet[[#This Row],[Logic (ms)]] = "", "", tblInputSheet[[#This Row],[Logic (ms)]]), "")</f>
        <v>20</v>
      </c>
      <c r="O57" s="18">
        <f>IFERROR(IF(tblInputSheet[[#This Row],[Rules (ms)]] = "", "", tblInputSheet[[#This Row],[Rules (ms)]]), "")</f>
        <v>0</v>
      </c>
      <c r="P57" s="18">
        <f>IFERROR(IF(tblInputSheet[[#This Row],[Latency (ms)]] = "", "", tblInputSheet[[#This Row],[Latency (ms)]]), "")</f>
        <v>15</v>
      </c>
      <c r="Q57" s="8">
        <f>IFERROR(SUM(tblDisplaySheet2[[#This Row],[DB Calls (ms)]:[Latency (ms)]]), "")</f>
        <v>35</v>
      </c>
      <c r="R57" s="8">
        <f>IFERROR(tblDisplaySheet[[#This Row],[Total Process Time]], "")</f>
        <v>35</v>
      </c>
      <c r="S57" s="8">
        <f>IFERROR(tblDisplaySheet[[#This Row],[Total Process Path Length]], "")</f>
        <v>35</v>
      </c>
      <c r="T57" s="8">
        <f>IFERROR(tblDisplaySheet[[#This Row],[Process NFR]], "")</f>
        <v>50</v>
      </c>
      <c r="U57" s="8">
        <f>IFERROR(tblDisplaySheet[[#This Row],[Total Process NFR]], "")</f>
        <v>50</v>
      </c>
      <c r="V57" s="8">
        <f>IFERROR(tblDisplaySheet[[#This Row],[Total Process Path Length NFR]], "")</f>
        <v>50</v>
      </c>
      <c r="W57" s="8">
        <f>IFERROR(tblDisplaySheet[[#This Row],[Difference]], "")</f>
        <v>15</v>
      </c>
      <c r="X57" s="8" t="str">
        <f>IFERROR(tblDisplaySheet[[#This Row],[Status]], "")</f>
        <v>On Target</v>
      </c>
      <c r="Y57" s="24" t="str">
        <f>IFERROR(tblDisplaySheet[[#This Row],[Is Leaf?]], "")</f>
        <v>Y</v>
      </c>
      <c r="Z57" s="24" t="str">
        <f>IFERROR(IF(tblInputSheet[[#This Row],[Owner]] = "", "", tblInputSheet[[#This Row],[Owner]]), "")</f>
        <v>Alak</v>
      </c>
      <c r="AA57" s="24" t="str">
        <f>IFERROR(IF(tblInputSheet[[#This Row],[Notes]] = "", "", tblInputSheet[[#This Row],[Notes]]), "")</f>
        <v/>
      </c>
    </row>
    <row r="58" spans="1:27" hidden="1" x14ac:dyDescent="0.25">
      <c r="A58" s="9">
        <f>IFERROR(IF(tblInputSheet[[#This Row],[Level]] = "", "", tblInputSheet[[#This Row],[Level]]), "")</f>
        <v>9</v>
      </c>
      <c r="B58" s="9">
        <f>IFERROR(IF(tblInputSheet[[#This Row],[Sl.No]] = "", "", tblInputSheet[[#This Row],[Sl.No]]), "")</f>
        <v>56</v>
      </c>
      <c r="C58" s="9" t="str">
        <f>IFERROR(IF(tblInputSheet[[#This Row],[Group]] = "", "", tblInputSheet[[#This Row],[Group]]), "")</f>
        <v>Service Level - Pricing Engine</v>
      </c>
      <c r="D58" s="9" t="str">
        <f>IFERROR(IF(tblInputSheet[[#This Row],[Process]] = "", "", REPT("*",Demo!$A58)&amp;""&amp;tblInputSheet[[#This Row],[Process]]), "")</f>
        <v>*********ClaimsXten Microservice</v>
      </c>
      <c r="E58" s="9" t="str">
        <f>IFERROR(IF(tblInputSheet[[#This Row],[Hosted Platform]] = "", "", tblInputSheet[[#This Row],[Hosted Platform]]), "")</f>
        <v>PCF</v>
      </c>
      <c r="F58" s="9" t="str">
        <f>IFERROR(IF(tblInputSheet[[#This Row],[Provider]] = "-", "", tblInputSheet[[#This Row],[Provider]]), "")</f>
        <v>Key-Claims Adjudication</v>
      </c>
      <c r="G58" s="9" t="str">
        <f>IFERROR(IF(tblInputSheet[[#This Row],[Consumer]] = "-", "", tblInputSheet[[#This Row],[Consumer]]), "")</f>
        <v>Key-Claims Adjudication</v>
      </c>
      <c r="H58" s="9" t="str">
        <f>IFERROR(IF(tblInputSheet[[#This Row],[Integration Pattern]] = "-", "", tblInputSheet[[#This Row],[Integration Pattern]]), "")</f>
        <v>PCF Internal (C-to-C)</v>
      </c>
      <c r="I58" s="9" t="str">
        <f>IFERROR(IF(tblInputSheet[[#This Row],[Current State]] = "-", "", tblInputSheet[[#This Row],[Current State]]), "")</f>
        <v>Y</v>
      </c>
      <c r="J58" s="9" t="str">
        <f>IFERROR(IF(tblInputSheet[[#This Row],[End State]] = "-", "", tblInputSheet[[#This Row],[End State]]), "")</f>
        <v>Y</v>
      </c>
      <c r="K58" s="9" t="str">
        <f>IFERROR(IF(tblInputSheet[[#This Row],[MVP]] = "-", "", tblInputSheet[[#This Row],[MVP]]), "")</f>
        <v>Y</v>
      </c>
      <c r="L58" s="8">
        <f>IFERROR(IF(tblInputSheet[[#This Row],[Count of Invocations]] = "", "", tblInputSheet[[#This Row],[Count of Invocations]]), "")</f>
        <v>1</v>
      </c>
      <c r="M58" s="18">
        <f>IFERROR(IF(tblInputSheet[[#This Row],[DB Calls (ms)]] = "", "", tblInputSheet[[#This Row],[DB Calls (ms)]]), "")</f>
        <v>0</v>
      </c>
      <c r="N58" s="18">
        <f>IFERROR(IF(tblInputSheet[[#This Row],[Logic (ms)]] = "", "", tblInputSheet[[#This Row],[Logic (ms)]]), "")</f>
        <v>20</v>
      </c>
      <c r="O58" s="18">
        <f>IFERROR(IF(tblInputSheet[[#This Row],[Rules (ms)]] = "", "", tblInputSheet[[#This Row],[Rules (ms)]]), "")</f>
        <v>0</v>
      </c>
      <c r="P58" s="18">
        <f>IFERROR(IF(tblInputSheet[[#This Row],[Latency (ms)]] = "", "", tblInputSheet[[#This Row],[Latency (ms)]]), "")</f>
        <v>15</v>
      </c>
      <c r="Q58" s="8">
        <f>IFERROR(SUM(tblDisplaySheet2[[#This Row],[DB Calls (ms)]:[Latency (ms)]]), "")</f>
        <v>35</v>
      </c>
      <c r="R58" s="8">
        <f>IFERROR(tblDisplaySheet[[#This Row],[Total Process Time]], "")</f>
        <v>35</v>
      </c>
      <c r="S58" s="8">
        <f>IFERROR(tblDisplaySheet[[#This Row],[Total Process Path Length]], "")</f>
        <v>1170</v>
      </c>
      <c r="T58" s="8">
        <f>IFERROR(tblDisplaySheet[[#This Row],[Process NFR]], "")</f>
        <v>50</v>
      </c>
      <c r="U58" s="8">
        <f>IFERROR(tblDisplaySheet[[#This Row],[Total Process NFR]], "")</f>
        <v>50</v>
      </c>
      <c r="V58" s="8">
        <f>IFERROR(tblDisplaySheet[[#This Row],[Total Process Path Length NFR]], "")</f>
        <v>1185</v>
      </c>
      <c r="W58" s="8">
        <f>IFERROR(tblDisplaySheet[[#This Row],[Difference]], "")</f>
        <v>15</v>
      </c>
      <c r="X58" s="8" t="str">
        <f>IFERROR(tblDisplaySheet[[#This Row],[Status]], "")</f>
        <v>On Target</v>
      </c>
      <c r="Y58" s="24" t="str">
        <f>IFERROR(tblDisplaySheet[[#This Row],[Is Leaf?]], "")</f>
        <v>N</v>
      </c>
      <c r="Z58" s="24" t="str">
        <f>IFERROR(IF(tblInputSheet[[#This Row],[Owner]] = "", "", tblInputSheet[[#This Row],[Owner]]), "")</f>
        <v>Alak</v>
      </c>
      <c r="AA58" s="24" t="str">
        <f>IFERROR(IF(tblInputSheet[[#This Row],[Notes]] = "", "", tblInputSheet[[#This Row],[Notes]]), "")</f>
        <v/>
      </c>
    </row>
    <row r="59" spans="1:27" ht="14.25" hidden="1" customHeight="1" x14ac:dyDescent="0.25">
      <c r="A59" s="9">
        <f>IFERROR(IF(tblInputSheet[[#This Row],[Level]] = "", "", tblInputSheet[[#This Row],[Level]]), "")</f>
        <v>10</v>
      </c>
      <c r="B59" s="9">
        <f>IFERROR(IF(tblInputSheet[[#This Row],[Sl.No]] = "", "", tblInputSheet[[#This Row],[Sl.No]]), "")</f>
        <v>57</v>
      </c>
      <c r="C59" s="9" t="str">
        <f>IFERROR(IF(tblInputSheet[[#This Row],[Group]] = "", "", tblInputSheet[[#This Row],[Group]]), "")</f>
        <v>Service Level - Pricing Engine</v>
      </c>
      <c r="D59" s="9" t="str">
        <f>IFERROR(IF(tblInputSheet[[#This Row],[Process]] = "", "", REPT("*",Demo!$A59)&amp;""&amp;tblInputSheet[[#This Row],[Process]]), "")</f>
        <v>**********Claims Xten Mule Adapter</v>
      </c>
      <c r="E59" s="9" t="str">
        <f>IFERROR(IF(tblInputSheet[[#This Row],[Hosted Platform]] = "", "", tblInputSheet[[#This Row],[Hosted Platform]]), "")</f>
        <v>Mule ESB</v>
      </c>
      <c r="F59" s="9" t="str">
        <f>IFERROR(IF(tblInputSheet[[#This Row],[Provider]] = "-", "", tblInputSheet[[#This Row],[Provider]]), "")</f>
        <v>Key-Claims Adjudication</v>
      </c>
      <c r="G59" s="9" t="str">
        <f>IFERROR(IF(tblInputSheet[[#This Row],[Consumer]] = "-", "", tblInputSheet[[#This Row],[Consumer]]), "")</f>
        <v>Claims-Legacy</v>
      </c>
      <c r="H59" s="9" t="str">
        <f>IFERROR(IF(tblInputSheet[[#This Row],[Integration Pattern]] = "-", "", tblInputSheet[[#This Row],[Integration Pattern]]), "")</f>
        <v>ESB - CTG Integration</v>
      </c>
      <c r="I59" s="9" t="str">
        <f>IFERROR(IF(tblInputSheet[[#This Row],[Current State]] = "-", "", tblInputSheet[[#This Row],[Current State]]), "")</f>
        <v>Y</v>
      </c>
      <c r="J59" s="9" t="str">
        <f>IFERROR(IF(tblInputSheet[[#This Row],[End State]] = "-", "", tblInputSheet[[#This Row],[End State]]), "")</f>
        <v>N</v>
      </c>
      <c r="K59" s="9" t="str">
        <f>IFERROR(IF(tblInputSheet[[#This Row],[MVP]] = "-", "", tblInputSheet[[#This Row],[MVP]]), "")</f>
        <v>Y</v>
      </c>
      <c r="L59" s="8">
        <f>IFERROR(IF(tblInputSheet[[#This Row],[Count of Invocations]] = "", "", tblInputSheet[[#This Row],[Count of Invocations]]), "")</f>
        <v>1</v>
      </c>
      <c r="M59" s="19">
        <f>IFERROR(IF(tblInputSheet[[#This Row],[DB Calls (ms)]] = "", "", tblInputSheet[[#This Row],[DB Calls (ms)]]), "")</f>
        <v>0</v>
      </c>
      <c r="N59" s="19">
        <f>IFERROR(IF(tblInputSheet[[#This Row],[Logic (ms)]] = "", "", tblInputSheet[[#This Row],[Logic (ms)]]), "")</f>
        <v>60</v>
      </c>
      <c r="O59" s="19">
        <f>IFERROR(IF(tblInputSheet[[#This Row],[Rules (ms)]] = "", "", tblInputSheet[[#This Row],[Rules (ms)]]), "")</f>
        <v>0</v>
      </c>
      <c r="P59" s="19">
        <f>IFERROR(IF(tblInputSheet[[#This Row],[Latency (ms)]] = "", "", tblInputSheet[[#This Row],[Latency (ms)]]), "")</f>
        <v>45</v>
      </c>
      <c r="Q59" s="9">
        <f>IFERROR(SUM(tblDisplaySheet2[[#This Row],[DB Calls (ms)]:[Latency (ms)]]), "")</f>
        <v>105</v>
      </c>
      <c r="R59" s="9">
        <f>IFERROR(tblDisplaySheet[[#This Row],[Total Process Time]], "")</f>
        <v>105</v>
      </c>
      <c r="S59" s="8">
        <f>IFERROR(tblDisplaySheet[[#This Row],[Total Process Path Length]], "")</f>
        <v>1135</v>
      </c>
      <c r="T59" s="8">
        <f>IFERROR(tblDisplaySheet[[#This Row],[Process NFR]], "")</f>
        <v>105</v>
      </c>
      <c r="U59" s="9">
        <f>IFERROR(tblDisplaySheet[[#This Row],[Total Process NFR]], "")</f>
        <v>105</v>
      </c>
      <c r="V59" s="8">
        <f>IFERROR(tblDisplaySheet[[#This Row],[Total Process Path Length NFR]], "")</f>
        <v>1135</v>
      </c>
      <c r="W59" s="9">
        <f>IFERROR(tblDisplaySheet[[#This Row],[Difference]], "")</f>
        <v>0</v>
      </c>
      <c r="X59" s="9" t="str">
        <f>IFERROR(tblDisplaySheet[[#This Row],[Status]], "")</f>
        <v>On Target</v>
      </c>
      <c r="Y59" s="24" t="str">
        <f>IFERROR(tblDisplaySheet[[#This Row],[Is Leaf?]], "")</f>
        <v>N</v>
      </c>
      <c r="Z59" s="24" t="str">
        <f>IFERROR(IF(tblInputSheet[[#This Row],[Owner]] = "", "", tblInputSheet[[#This Row],[Owner]]), "")</f>
        <v>Alak</v>
      </c>
      <c r="AA59" s="24" t="str">
        <f>IFERROR(IF(tblInputSheet[[#This Row],[Notes]] = "", "", tblInputSheet[[#This Row],[Notes]]), "")</f>
        <v/>
      </c>
    </row>
    <row r="60" spans="1:27" hidden="1" x14ac:dyDescent="0.25">
      <c r="A60" s="9">
        <f>IFERROR(IF(tblInputSheet[[#This Row],[Level]] = "", "", tblInputSheet[[#This Row],[Level]]), "")</f>
        <v>11</v>
      </c>
      <c r="B60" s="9">
        <f>IFERROR(IF(tblInputSheet[[#This Row],[Sl.No]] = "", "", tblInputSheet[[#This Row],[Sl.No]]), "")</f>
        <v>58</v>
      </c>
      <c r="C60" s="9" t="str">
        <f>IFERROR(IF(tblInputSheet[[#This Row],[Group]] = "", "", tblInputSheet[[#This Row],[Group]]), "")</f>
        <v>Service Level - Pricing Engine</v>
      </c>
      <c r="D60" s="9" t="str">
        <f>IFERROR(IF(tblInputSheet[[#This Row],[Process]] = "", "", REPT("*",Demo!$A60)&amp;""&amp;tblInputSheet[[#This Row],[Process]]), "")</f>
        <v>***********Invoker</v>
      </c>
      <c r="E60" s="9" t="str">
        <f>IFERROR(IF(tblInputSheet[[#This Row],[Hosted Platform]] = "", "", tblInputSheet[[#This Row],[Hosted Platform]]), "")</f>
        <v>Legacy BC</v>
      </c>
      <c r="F60" s="9" t="str">
        <f>IFERROR(IF(tblInputSheet[[#This Row],[Provider]] = "-", "", tblInputSheet[[#This Row],[Provider]]), "")</f>
        <v>Claims-Legacy</v>
      </c>
      <c r="G60" s="9" t="str">
        <f>IFERROR(IF(tblInputSheet[[#This Row],[Consumer]] = "-", "", tblInputSheet[[#This Row],[Consumer]]), "")</f>
        <v>Claims-Legacy</v>
      </c>
      <c r="H60" s="9" t="str">
        <f>IFERROR(IF(tblInputSheet[[#This Row],[Integration Pattern]] = "-", "", tblInputSheet[[#This Row],[Integration Pattern]]), "")</f>
        <v>BC Internal</v>
      </c>
      <c r="I60" s="9" t="str">
        <f>IFERROR(IF(tblInputSheet[[#This Row],[Current State]] = "-", "", tblInputSheet[[#This Row],[Current State]]), "")</f>
        <v>Y</v>
      </c>
      <c r="J60" s="9" t="str">
        <f>IFERROR(IF(tblInputSheet[[#This Row],[End State]] = "-", "", tblInputSheet[[#This Row],[End State]]), "")</f>
        <v>Y</v>
      </c>
      <c r="K60" s="9" t="str">
        <f>IFERROR(IF(tblInputSheet[[#This Row],[MVP]] = "-", "", tblInputSheet[[#This Row],[MVP]]), "")</f>
        <v>Y</v>
      </c>
      <c r="L60" s="8">
        <f>IFERROR(IF(tblInputSheet[[#This Row],[Count of Invocations]] = "", "", tblInputSheet[[#This Row],[Count of Invocations]]), "")</f>
        <v>1</v>
      </c>
      <c r="M60" s="18">
        <f>IFERROR(IF(tblInputSheet[[#This Row],[DB Calls (ms)]] = "", "", tblInputSheet[[#This Row],[DB Calls (ms)]]), "")</f>
        <v>0</v>
      </c>
      <c r="N60" s="18">
        <f>IFERROR(IF(tblInputSheet[[#This Row],[Logic (ms)]] = "", "", tblInputSheet[[#This Row],[Logic (ms)]]), "")</f>
        <v>1</v>
      </c>
      <c r="O60" s="18">
        <f>IFERROR(IF(tblInputSheet[[#This Row],[Rules (ms)]] = "", "", tblInputSheet[[#This Row],[Rules (ms)]]), "")</f>
        <v>0</v>
      </c>
      <c r="P60" s="18">
        <f>IFERROR(IF(tblInputSheet[[#This Row],[Latency (ms)]] = "", "", tblInputSheet[[#This Row],[Latency (ms)]]), "")</f>
        <v>0</v>
      </c>
      <c r="Q60" s="8">
        <f>IFERROR(SUM(tblDisplaySheet2[[#This Row],[DB Calls (ms)]:[Latency (ms)]]), "")</f>
        <v>1</v>
      </c>
      <c r="R60" s="8">
        <f>IFERROR(tblDisplaySheet[[#This Row],[Total Process Time]], "")</f>
        <v>1</v>
      </c>
      <c r="S60" s="8">
        <f>IFERROR(tblDisplaySheet[[#This Row],[Total Process Path Length]], "")</f>
        <v>1030</v>
      </c>
      <c r="T60" s="8">
        <f>IFERROR(tblDisplaySheet[[#This Row],[Process NFR]], "")</f>
        <v>1</v>
      </c>
      <c r="U60" s="8">
        <f>IFERROR(tblDisplaySheet[[#This Row],[Total Process NFR]], "")</f>
        <v>1</v>
      </c>
      <c r="V60" s="8">
        <f>IFERROR(tblDisplaySheet[[#This Row],[Total Process Path Length NFR]], "")</f>
        <v>1030</v>
      </c>
      <c r="W60" s="8">
        <f>IFERROR(tblDisplaySheet[[#This Row],[Difference]], "")</f>
        <v>0</v>
      </c>
      <c r="X60" s="8" t="str">
        <f>IFERROR(tblDisplaySheet[[#This Row],[Status]], "")</f>
        <v>On Target</v>
      </c>
      <c r="Y60" s="24" t="str">
        <f>IFERROR(tblDisplaySheet[[#This Row],[Is Leaf?]], "")</f>
        <v>N</v>
      </c>
      <c r="Z60" s="24" t="str">
        <f>IFERROR(IF(tblInputSheet[[#This Row],[Owner]] = "", "", tblInputSheet[[#This Row],[Owner]]), "")</f>
        <v>Alak</v>
      </c>
      <c r="AA60" s="24" t="str">
        <f>IFERROR(IF(tblInputSheet[[#This Row],[Notes]] = "", "", tblInputSheet[[#This Row],[Notes]]), "")</f>
        <v/>
      </c>
    </row>
    <row r="61" spans="1:27" hidden="1" x14ac:dyDescent="0.25">
      <c r="A61" s="9">
        <f>IFERROR(IF(tblInputSheet[[#This Row],[Level]] = "", "", tblInputSheet[[#This Row],[Level]]), "")</f>
        <v>12</v>
      </c>
      <c r="B61" s="9">
        <f>IFERROR(IF(tblInputSheet[[#This Row],[Sl.No]] = "", "", tblInputSheet[[#This Row],[Sl.No]]), "")</f>
        <v>59</v>
      </c>
      <c r="C61" s="9" t="str">
        <f>IFERROR(IF(tblInputSheet[[#This Row],[Group]] = "", "", tblInputSheet[[#This Row],[Group]]), "")</f>
        <v>Service Level - Pricing Engine</v>
      </c>
      <c r="D61" s="9" t="str">
        <f>IFERROR(IF(tblInputSheet[[#This Row],[Process]] = "", "", REPT("*",Demo!$A61)&amp;""&amp;tblInputSheet[[#This Row],[Process]]), "")</f>
        <v>************Legacy Claims Xten</v>
      </c>
      <c r="E61" s="9" t="str">
        <f>IFERROR(IF(tblInputSheet[[#This Row],[Hosted Platform]] = "", "", tblInputSheet[[#This Row],[Hosted Platform]]), "")</f>
        <v>Legacy BC</v>
      </c>
      <c r="F61" s="9" t="str">
        <f>IFERROR(IF(tblInputSheet[[#This Row],[Provider]] = "-", "", tblInputSheet[[#This Row],[Provider]]), "")</f>
        <v>Claims-Legacy</v>
      </c>
      <c r="G61" s="9" t="str">
        <f>IFERROR(IF(tblInputSheet[[#This Row],[Consumer]] = "-", "", tblInputSheet[[#This Row],[Consumer]]), "")</f>
        <v>Claims-Legacy</v>
      </c>
      <c r="H61" s="9" t="str">
        <f>IFERROR(IF(tblInputSheet[[#This Row],[Integration Pattern]] = "-", "", tblInputSheet[[#This Row],[Integration Pattern]]), "")</f>
        <v>BC Internal</v>
      </c>
      <c r="I61" s="9" t="str">
        <f>IFERROR(IF(tblInputSheet[[#This Row],[Current State]] = "-", "", tblInputSheet[[#This Row],[Current State]]), "")</f>
        <v>Y</v>
      </c>
      <c r="J61" s="9" t="str">
        <f>IFERROR(IF(tblInputSheet[[#This Row],[End State]] = "-", "", tblInputSheet[[#This Row],[End State]]), "")</f>
        <v>Y</v>
      </c>
      <c r="K61" s="9" t="str">
        <f>IFERROR(IF(tblInputSheet[[#This Row],[MVP]] = "-", "", tblInputSheet[[#This Row],[MVP]]), "")</f>
        <v>Y</v>
      </c>
      <c r="L61" s="8">
        <f>IFERROR(IF(tblInputSheet[[#This Row],[Count of Invocations]] = "", "", tblInputSheet[[#This Row],[Count of Invocations]]), "")</f>
        <v>1</v>
      </c>
      <c r="M61" s="18">
        <f>IFERROR(IF(tblInputSheet[[#This Row],[DB Calls (ms)]] = "", "", tblInputSheet[[#This Row],[DB Calls (ms)]]), "")</f>
        <v>0</v>
      </c>
      <c r="N61" s="18">
        <f>IFERROR(IF(tblInputSheet[[#This Row],[Logic (ms)]] = "", "", tblInputSheet[[#This Row],[Logic (ms)]]), "")</f>
        <v>1029</v>
      </c>
      <c r="O61" s="18">
        <f>IFERROR(IF(tblInputSheet[[#This Row],[Rules (ms)]] = "", "", tblInputSheet[[#This Row],[Rules (ms)]]), "")</f>
        <v>0</v>
      </c>
      <c r="P61" s="18">
        <f>IFERROR(IF(tblInputSheet[[#This Row],[Latency (ms)]] = "", "", tblInputSheet[[#This Row],[Latency (ms)]]), "")</f>
        <v>0</v>
      </c>
      <c r="Q61" s="8">
        <f>IFERROR(SUM(tblDisplaySheet2[[#This Row],[DB Calls (ms)]:[Latency (ms)]]), "")</f>
        <v>1029</v>
      </c>
      <c r="R61" s="8">
        <f>IFERROR(tblDisplaySheet[[#This Row],[Total Process Time]], "")</f>
        <v>1029</v>
      </c>
      <c r="S61" s="8">
        <f>IFERROR(tblDisplaySheet[[#This Row],[Total Process Path Length]], "")</f>
        <v>1029</v>
      </c>
      <c r="T61" s="8">
        <f>IFERROR(tblDisplaySheet[[#This Row],[Process NFR]], "")</f>
        <v>1029</v>
      </c>
      <c r="U61" s="8">
        <f>IFERROR(tblDisplaySheet[[#This Row],[Total Process NFR]], "")</f>
        <v>1029</v>
      </c>
      <c r="V61" s="8">
        <f>IFERROR(tblDisplaySheet[[#This Row],[Total Process Path Length NFR]], "")</f>
        <v>1029</v>
      </c>
      <c r="W61" s="8">
        <f>IFERROR(tblDisplaySheet[[#This Row],[Difference]], "")</f>
        <v>0</v>
      </c>
      <c r="X61" s="8" t="str">
        <f>IFERROR(tblDisplaySheet[[#This Row],[Status]], "")</f>
        <v>On Target</v>
      </c>
      <c r="Y61" s="24" t="str">
        <f>IFERROR(tblDisplaySheet[[#This Row],[Is Leaf?]], "")</f>
        <v>Y</v>
      </c>
      <c r="Z61" s="24" t="str">
        <f>IFERROR(IF(tblInputSheet[[#This Row],[Owner]] = "", "", tblInputSheet[[#This Row],[Owner]]), "")</f>
        <v>Alak</v>
      </c>
      <c r="AA61" s="24" t="str">
        <f>IFERROR(IF(tblInputSheet[[#This Row],[Notes]] = "", "", tblInputSheet[[#This Row],[Notes]]), "")</f>
        <v/>
      </c>
    </row>
    <row r="62" spans="1:27" hidden="1" x14ac:dyDescent="0.25">
      <c r="A62" s="9">
        <f>IFERROR(IF(tblInputSheet[[#This Row],[Level]] = "", "", tblInputSheet[[#This Row],[Level]]), "")</f>
        <v>9</v>
      </c>
      <c r="B62" s="9">
        <f>IFERROR(IF(tblInputSheet[[#This Row],[Sl.No]] = "", "", tblInputSheet[[#This Row],[Sl.No]]), "")</f>
        <v>60</v>
      </c>
      <c r="C62" s="9" t="str">
        <f>IFERROR(IF(tblInputSheet[[#This Row],[Group]] = "", "", tblInputSheet[[#This Row],[Group]]), "")</f>
        <v>Service Level - Pricing Engine</v>
      </c>
      <c r="D62" s="9" t="str">
        <f>IFERROR(IF(tblInputSheet[[#This Row],[Process]] = "", "", REPT("*",Demo!$A62)&amp;""&amp;tblInputSheet[[#This Row],[Process]]), "")</f>
        <v>*********UPF (National Modules) Mule Adapter</v>
      </c>
      <c r="E62" s="9" t="str">
        <f>IFERROR(IF(tblInputSheet[[#This Row],[Hosted Platform]] = "", "", tblInputSheet[[#This Row],[Hosted Platform]]), "")</f>
        <v>Mule ESB</v>
      </c>
      <c r="F62" s="9" t="str">
        <f>IFERROR(IF(tblInputSheet[[#This Row],[Provider]] = "-", "", tblInputSheet[[#This Row],[Provider]]), "")</f>
        <v>Key-Claims Adjudication</v>
      </c>
      <c r="G62" s="9" t="str">
        <f>IFERROR(IF(tblInputSheet[[#This Row],[Consumer]] = "-", "", tblInputSheet[[#This Row],[Consumer]]), "")</f>
        <v>Other</v>
      </c>
      <c r="H62" s="9" t="str">
        <f>IFERROR(IF(tblInputSheet[[#This Row],[Integration Pattern]] = "-", "", tblInputSheet[[#This Row],[Integration Pattern]]), "")</f>
        <v>ESB - CTG Integration</v>
      </c>
      <c r="I62" s="9" t="str">
        <f>IFERROR(IF(tblInputSheet[[#This Row],[Current State]] = "-", "", tblInputSheet[[#This Row],[Current State]]), "")</f>
        <v>Y</v>
      </c>
      <c r="J62" s="9" t="str">
        <f>IFERROR(IF(tblInputSheet[[#This Row],[End State]] = "-", "", tblInputSheet[[#This Row],[End State]]), "")</f>
        <v>N</v>
      </c>
      <c r="K62" s="9" t="str">
        <f>IFERROR(IF(tblInputSheet[[#This Row],[MVP]] = "-", "", tblInputSheet[[#This Row],[MVP]]), "")</f>
        <v>Y</v>
      </c>
      <c r="L62" s="8">
        <f>IFERROR(IF(tblInputSheet[[#This Row],[Count of Invocations]] = "", "", tblInputSheet[[#This Row],[Count of Invocations]]), "")</f>
        <v>1</v>
      </c>
      <c r="M62" s="18" t="str">
        <f>IFERROR(IF(tblInputSheet[[#This Row],[DB Calls (ms)]] = "", "", tblInputSheet[[#This Row],[DB Calls (ms)]]), "")</f>
        <v>`</v>
      </c>
      <c r="N62" s="18">
        <f>IFERROR(IF(tblInputSheet[[#This Row],[Logic (ms)]] = "", "", tblInputSheet[[#This Row],[Logic (ms)]]), "")</f>
        <v>65</v>
      </c>
      <c r="O62" s="18">
        <f>IFERROR(IF(tblInputSheet[[#This Row],[Rules (ms)]] = "", "", tblInputSheet[[#This Row],[Rules (ms)]]), "")</f>
        <v>0</v>
      </c>
      <c r="P62" s="18">
        <f>IFERROR(IF(tblInputSheet[[#This Row],[Latency (ms)]] = "", "", tblInputSheet[[#This Row],[Latency (ms)]]), "")</f>
        <v>50</v>
      </c>
      <c r="Q62" s="8">
        <f>IFERROR(SUM(tblDisplaySheet2[[#This Row],[DB Calls (ms)]:[Latency (ms)]]), "")</f>
        <v>115</v>
      </c>
      <c r="R62" s="8">
        <f>IFERROR(tblDisplaySheet[[#This Row],[Total Process Time]], "")</f>
        <v>115</v>
      </c>
      <c r="S62" s="8">
        <f>IFERROR(tblDisplaySheet[[#This Row],[Total Process Path Length]], "")</f>
        <v>151</v>
      </c>
      <c r="T62" s="8">
        <f>IFERROR(tblDisplaySheet[[#This Row],[Process NFR]], "")</f>
        <v>115</v>
      </c>
      <c r="U62" s="8">
        <f>IFERROR(tblDisplaySheet[[#This Row],[Total Process NFR]], "")</f>
        <v>115</v>
      </c>
      <c r="V62" s="8">
        <f>IFERROR(tblDisplaySheet[[#This Row],[Total Process Path Length NFR]], "")</f>
        <v>166</v>
      </c>
      <c r="W62" s="8">
        <f>IFERROR(tblDisplaySheet[[#This Row],[Difference]], "")</f>
        <v>15</v>
      </c>
      <c r="X62" s="8" t="str">
        <f>IFERROR(tblDisplaySheet[[#This Row],[Status]], "")</f>
        <v>On Target</v>
      </c>
      <c r="Y62" s="24" t="str">
        <f>IFERROR(tblDisplaySheet[[#This Row],[Is Leaf?]], "")</f>
        <v>N</v>
      </c>
      <c r="Z62" s="24" t="str">
        <f>IFERROR(IF(tblInputSheet[[#This Row],[Owner]] = "", "", tblInputSheet[[#This Row],[Owner]]), "")</f>
        <v>Alak</v>
      </c>
      <c r="AA62" s="24" t="str">
        <f>IFERROR(IF(tblInputSheet[[#This Row],[Notes]] = "", "", tblInputSheet[[#This Row],[Notes]]), "")</f>
        <v/>
      </c>
    </row>
    <row r="63" spans="1:27" hidden="1" x14ac:dyDescent="0.25">
      <c r="A63" s="9">
        <f>IFERROR(IF(tblInputSheet[[#This Row],[Level]] = "", "", tblInputSheet[[#This Row],[Level]]), "")</f>
        <v>10</v>
      </c>
      <c r="B63" s="9">
        <f>IFERROR(IF(tblInputSheet[[#This Row],[Sl.No]] = "", "", tblInputSheet[[#This Row],[Sl.No]]), "")</f>
        <v>61</v>
      </c>
      <c r="C63" s="9" t="str">
        <f>IFERROR(IF(tblInputSheet[[#This Row],[Group]] = "", "", tblInputSheet[[#This Row],[Group]]), "")</f>
        <v>Service Level - Pricing Engine</v>
      </c>
      <c r="D63" s="9" t="str">
        <f>IFERROR(IF(tblInputSheet[[#This Row],[Process]] = "", "", REPT("*",Demo!$A63)&amp;""&amp;tblInputSheet[[#This Row],[Process]]), "")</f>
        <v>**********Invoker</v>
      </c>
      <c r="E63" s="9" t="str">
        <f>IFERROR(IF(tblInputSheet[[#This Row],[Hosted Platform]] = "", "", tblInputSheet[[#This Row],[Hosted Platform]]), "")</f>
        <v>Legacy BC</v>
      </c>
      <c r="F63" s="9" t="str">
        <f>IFERROR(IF(tblInputSheet[[#This Row],[Provider]] = "-", "", tblInputSheet[[#This Row],[Provider]]), "")</f>
        <v>Claims-Legacy</v>
      </c>
      <c r="G63" s="9" t="str">
        <f>IFERROR(IF(tblInputSheet[[#This Row],[Consumer]] = "-", "", tblInputSheet[[#This Row],[Consumer]]), "")</f>
        <v>Claims-Legacy</v>
      </c>
      <c r="H63" s="9" t="str">
        <f>IFERROR(IF(tblInputSheet[[#This Row],[Integration Pattern]] = "-", "", tblInputSheet[[#This Row],[Integration Pattern]]), "")</f>
        <v>BC Internal</v>
      </c>
      <c r="I63" s="9" t="str">
        <f>IFERROR(IF(tblInputSheet[[#This Row],[Current State]] = "-", "", tblInputSheet[[#This Row],[Current State]]), "")</f>
        <v>Y</v>
      </c>
      <c r="J63" s="9" t="str">
        <f>IFERROR(IF(tblInputSheet[[#This Row],[End State]] = "-", "", tblInputSheet[[#This Row],[End State]]), "")</f>
        <v>Y</v>
      </c>
      <c r="K63" s="9" t="str">
        <f>IFERROR(IF(tblInputSheet[[#This Row],[MVP]] = "-", "", tblInputSheet[[#This Row],[MVP]]), "")</f>
        <v>Y</v>
      </c>
      <c r="L63" s="8">
        <f>IFERROR(IF(tblInputSheet[[#This Row],[Count of Invocations]] = "", "", tblInputSheet[[#This Row],[Count of Invocations]]), "")</f>
        <v>1</v>
      </c>
      <c r="M63" s="18">
        <f>IFERROR(IF(tblInputSheet[[#This Row],[DB Calls (ms)]] = "", "", tblInputSheet[[#This Row],[DB Calls (ms)]]), "")</f>
        <v>0</v>
      </c>
      <c r="N63" s="18">
        <f>IFERROR(IF(tblInputSheet[[#This Row],[Logic (ms)]] = "", "", tblInputSheet[[#This Row],[Logic (ms)]]), "")</f>
        <v>1</v>
      </c>
      <c r="O63" s="18">
        <f>IFERROR(IF(tblInputSheet[[#This Row],[Rules (ms)]] = "", "", tblInputSheet[[#This Row],[Rules (ms)]]), "")</f>
        <v>0</v>
      </c>
      <c r="P63" s="18">
        <f>IFERROR(IF(tblInputSheet[[#This Row],[Latency (ms)]] = "", "", tblInputSheet[[#This Row],[Latency (ms)]]), "")</f>
        <v>0</v>
      </c>
      <c r="Q63" s="8">
        <f>IFERROR(SUM(tblDisplaySheet2[[#This Row],[DB Calls (ms)]:[Latency (ms)]]), "")</f>
        <v>1</v>
      </c>
      <c r="R63" s="8">
        <f>IFERROR(tblDisplaySheet[[#This Row],[Total Process Time]], "")</f>
        <v>1</v>
      </c>
      <c r="S63" s="8">
        <f>IFERROR(tblDisplaySheet[[#This Row],[Total Process Path Length]], "")</f>
        <v>36</v>
      </c>
      <c r="T63" s="8">
        <f>IFERROR(tblDisplaySheet[[#This Row],[Process NFR]], "")</f>
        <v>1</v>
      </c>
      <c r="U63" s="8">
        <f>IFERROR(tblDisplaySheet[[#This Row],[Total Process NFR]], "")</f>
        <v>1</v>
      </c>
      <c r="V63" s="8">
        <f>IFERROR(tblDisplaySheet[[#This Row],[Total Process Path Length NFR]], "")</f>
        <v>51</v>
      </c>
      <c r="W63" s="8">
        <f>IFERROR(tblDisplaySheet[[#This Row],[Difference]], "")</f>
        <v>15</v>
      </c>
      <c r="X63" s="8" t="str">
        <f>IFERROR(tblDisplaySheet[[#This Row],[Status]], "")</f>
        <v>On Target</v>
      </c>
      <c r="Y63" s="24" t="str">
        <f>IFERROR(tblDisplaySheet[[#This Row],[Is Leaf?]], "")</f>
        <v>N</v>
      </c>
      <c r="Z63" s="24" t="str">
        <f>IFERROR(IF(tblInputSheet[[#This Row],[Owner]] = "", "", tblInputSheet[[#This Row],[Owner]]), "")</f>
        <v>Alak</v>
      </c>
      <c r="AA63" s="24" t="str">
        <f>IFERROR(IF(tblInputSheet[[#This Row],[Notes]] = "", "", tblInputSheet[[#This Row],[Notes]]), "")</f>
        <v/>
      </c>
    </row>
    <row r="64" spans="1:27" hidden="1" x14ac:dyDescent="0.25">
      <c r="A64" s="9">
        <f>IFERROR(IF(tblInputSheet[[#This Row],[Level]] = "", "", tblInputSheet[[#This Row],[Level]]), "")</f>
        <v>11</v>
      </c>
      <c r="B64" s="9">
        <f>IFERROR(IF(tblInputSheet[[#This Row],[Sl.No]] = "", "", tblInputSheet[[#This Row],[Sl.No]]), "")</f>
        <v>62</v>
      </c>
      <c r="C64" s="9" t="str">
        <f>IFERROR(IF(tblInputSheet[[#This Row],[Group]] = "", "", tblInputSheet[[#This Row],[Group]]), "")</f>
        <v>Service Level - Pricing Engine</v>
      </c>
      <c r="D64" s="9" t="str">
        <f>IFERROR(IF(tblInputSheet[[#This Row],[Process]] = "", "", REPT("*",Demo!$A64)&amp;""&amp;tblInputSheet[[#This Row],[Process]]), "")</f>
        <v>***********UPF (National Modules) Module</v>
      </c>
      <c r="E64" s="9" t="str">
        <f>IFERROR(IF(tblInputSheet[[#This Row],[Hosted Platform]] = "", "", tblInputSheet[[#This Row],[Hosted Platform]]), "")</f>
        <v>Legacy BC</v>
      </c>
      <c r="F64" s="9" t="str">
        <f>IFERROR(IF(tblInputSheet[[#This Row],[Provider]] = "-", "", tblInputSheet[[#This Row],[Provider]]), "")</f>
        <v>Provider</v>
      </c>
      <c r="G64" s="9" t="str">
        <f>IFERROR(IF(tblInputSheet[[#This Row],[Consumer]] = "-", "", tblInputSheet[[#This Row],[Consumer]]), "")</f>
        <v>Claims-Legacy</v>
      </c>
      <c r="H64" s="9" t="str">
        <f>IFERROR(IF(tblInputSheet[[#This Row],[Integration Pattern]] = "-", "", tblInputSheet[[#This Row],[Integration Pattern]]), "")</f>
        <v>BC Internal</v>
      </c>
      <c r="I64" s="9" t="str">
        <f>IFERROR(IF(tblInputSheet[[#This Row],[Current State]] = "-", "", tblInputSheet[[#This Row],[Current State]]), "")</f>
        <v>Y</v>
      </c>
      <c r="J64" s="9" t="str">
        <f>IFERROR(IF(tblInputSheet[[#This Row],[End State]] = "-", "", tblInputSheet[[#This Row],[End State]]), "")</f>
        <v>Y</v>
      </c>
      <c r="K64" s="9" t="str">
        <f>IFERROR(IF(tblInputSheet[[#This Row],[MVP]] = "-", "", tblInputSheet[[#This Row],[MVP]]), "")</f>
        <v>Y</v>
      </c>
      <c r="L64" s="8">
        <f>IFERROR(IF(tblInputSheet[[#This Row],[Count of Invocations]] = "", "", tblInputSheet[[#This Row],[Count of Invocations]]), "")</f>
        <v>1</v>
      </c>
      <c r="M64" s="18">
        <f>IFERROR(IF(tblInputSheet[[#This Row],[DB Calls (ms)]] = "", "", tblInputSheet[[#This Row],[DB Calls (ms)]]), "")</f>
        <v>0</v>
      </c>
      <c r="N64" s="18">
        <f>IFERROR(IF(tblInputSheet[[#This Row],[Logic (ms)]] = "", "", tblInputSheet[[#This Row],[Logic (ms)]]), "")</f>
        <v>20</v>
      </c>
      <c r="O64" s="18">
        <f>IFERROR(IF(tblInputSheet[[#This Row],[Rules (ms)]] = "", "", tblInputSheet[[#This Row],[Rules (ms)]]), "")</f>
        <v>0</v>
      </c>
      <c r="P64" s="18">
        <f>IFERROR(IF(tblInputSheet[[#This Row],[Latency (ms)]] = "", "", tblInputSheet[[#This Row],[Latency (ms)]]), "")</f>
        <v>15</v>
      </c>
      <c r="Q64" s="8">
        <f>IFERROR(SUM(tblDisplaySheet2[[#This Row],[DB Calls (ms)]:[Latency (ms)]]), "")</f>
        <v>35</v>
      </c>
      <c r="R64" s="8">
        <f>IFERROR(tblDisplaySheet[[#This Row],[Total Process Time]], "")</f>
        <v>35</v>
      </c>
      <c r="S64" s="8">
        <f>IFERROR(tblDisplaySheet[[#This Row],[Total Process Path Length]], "")</f>
        <v>35</v>
      </c>
      <c r="T64" s="8">
        <f>IFERROR(tblDisplaySheet[[#This Row],[Process NFR]], "")</f>
        <v>50</v>
      </c>
      <c r="U64" s="8">
        <f>IFERROR(tblDisplaySheet[[#This Row],[Total Process NFR]], "")</f>
        <v>50</v>
      </c>
      <c r="V64" s="8">
        <f>IFERROR(tblDisplaySheet[[#This Row],[Total Process Path Length NFR]], "")</f>
        <v>50</v>
      </c>
      <c r="W64" s="8">
        <f>IFERROR(tblDisplaySheet[[#This Row],[Difference]], "")</f>
        <v>15</v>
      </c>
      <c r="X64" s="8" t="str">
        <f>IFERROR(tblDisplaySheet[[#This Row],[Status]], "")</f>
        <v>On Target</v>
      </c>
      <c r="Y64" s="24" t="str">
        <f>IFERROR(tblDisplaySheet[[#This Row],[Is Leaf?]], "")</f>
        <v>Y</v>
      </c>
      <c r="Z64" s="24" t="str">
        <f>IFERROR(IF(tblInputSheet[[#This Row],[Owner]] = "", "", tblInputSheet[[#This Row],[Owner]]), "")</f>
        <v>Alak</v>
      </c>
      <c r="AA64" s="24" t="str">
        <f>IFERROR(IF(tblInputSheet[[#This Row],[Notes]] = "", "", tblInputSheet[[#This Row],[Notes]]), "")</f>
        <v/>
      </c>
    </row>
    <row r="65" spans="1:27" hidden="1" x14ac:dyDescent="0.25">
      <c r="A65" s="9">
        <f>IFERROR(IF(tblInputSheet[[#This Row],[Level]] = "", "", tblInputSheet[[#This Row],[Level]]), "")</f>
        <v>9</v>
      </c>
      <c r="B65" s="9">
        <f>IFERROR(IF(tblInputSheet[[#This Row],[Sl.No]] = "", "", tblInputSheet[[#This Row],[Sl.No]]), "")</f>
        <v>63</v>
      </c>
      <c r="C65" s="9" t="str">
        <f>IFERROR(IF(tblInputSheet[[#This Row],[Group]] = "", "", tblInputSheet[[#This Row],[Group]]), "")</f>
        <v>Service Level - Pricing Engine</v>
      </c>
      <c r="D65" s="9" t="str">
        <f>IFERROR(IF(tblInputSheet[[#This Row],[Process]] = "", "", REPT("*",Demo!$A65)&amp;""&amp;tblInputSheet[[#This Row],[Process]]), "")</f>
        <v>*********AOC Vendor Request Service</v>
      </c>
      <c r="E65" s="9" t="str">
        <f>IFERROR(IF(tblInputSheet[[#This Row],[Hosted Platform]] = "", "", tblInputSheet[[#This Row],[Hosted Platform]]), "")</f>
        <v>PCF</v>
      </c>
      <c r="F65" s="9" t="str">
        <f>IFERROR(IF(tblInputSheet[[#This Row],[Provider]] = "-", "", tblInputSheet[[#This Row],[Provider]]), "")</f>
        <v>Key-Claims Adjudication</v>
      </c>
      <c r="G65" s="9" t="str">
        <f>IFERROR(IF(tblInputSheet[[#This Row],[Consumer]] = "-", "", tblInputSheet[[#This Row],[Consumer]]), "")</f>
        <v>Key-Claims Adjudication</v>
      </c>
      <c r="H65" s="9" t="str">
        <f>IFERROR(IF(tblInputSheet[[#This Row],[Integration Pattern]] = "-", "", tblInputSheet[[#This Row],[Integration Pattern]]), "")</f>
        <v xml:space="preserve">REST Service - MQ </v>
      </c>
      <c r="I65" s="9" t="str">
        <f>IFERROR(IF(tblInputSheet[[#This Row],[Current State]] = "-", "", tblInputSheet[[#This Row],[Current State]]), "")</f>
        <v>Y</v>
      </c>
      <c r="J65" s="9" t="str">
        <f>IFERROR(IF(tblInputSheet[[#This Row],[End State]] = "-", "", tblInputSheet[[#This Row],[End State]]), "")</f>
        <v>Y</v>
      </c>
      <c r="K65" s="9" t="str">
        <f>IFERROR(IF(tblInputSheet[[#This Row],[MVP]] = "-", "", tblInputSheet[[#This Row],[MVP]]), "")</f>
        <v>Y</v>
      </c>
      <c r="L65" s="8">
        <f>IFERROR(IF(tblInputSheet[[#This Row],[Count of Invocations]] = "", "", tblInputSheet[[#This Row],[Count of Invocations]]), "")</f>
        <v>1</v>
      </c>
      <c r="M65" s="18">
        <f>IFERROR(IF(tblInputSheet[[#This Row],[DB Calls (ms)]] = "", "", tblInputSheet[[#This Row],[DB Calls (ms)]]), "")</f>
        <v>0</v>
      </c>
      <c r="N65" s="18">
        <f>IFERROR(IF(tblInputSheet[[#This Row],[Logic (ms)]] = "", "", tblInputSheet[[#This Row],[Logic (ms)]]), "")</f>
        <v>20</v>
      </c>
      <c r="O65" s="18">
        <f>IFERROR(IF(tblInputSheet[[#This Row],[Rules (ms)]] = "", "", tblInputSheet[[#This Row],[Rules (ms)]]), "")</f>
        <v>0</v>
      </c>
      <c r="P65" s="18">
        <f>IFERROR(IF(tblInputSheet[[#This Row],[Latency (ms)]] = "", "", tblInputSheet[[#This Row],[Latency (ms)]]), "")</f>
        <v>15</v>
      </c>
      <c r="Q65" s="8">
        <f>IFERROR(SUM(tblDisplaySheet2[[#This Row],[DB Calls (ms)]:[Latency (ms)]]), "")</f>
        <v>35</v>
      </c>
      <c r="R65" s="8">
        <f>IFERROR(tblDisplaySheet[[#This Row],[Total Process Time]], "")</f>
        <v>35</v>
      </c>
      <c r="S65" s="8">
        <f>IFERROR(tblDisplaySheet[[#This Row],[Total Process Path Length]], "")</f>
        <v>35</v>
      </c>
      <c r="T65" s="8">
        <f>IFERROR(tblDisplaySheet[[#This Row],[Process NFR]], "")</f>
        <v>50</v>
      </c>
      <c r="U65" s="8">
        <f>IFERROR(tblDisplaySheet[[#This Row],[Total Process NFR]], "")</f>
        <v>50</v>
      </c>
      <c r="V65" s="8">
        <f>IFERROR(tblDisplaySheet[[#This Row],[Total Process Path Length NFR]], "")</f>
        <v>50</v>
      </c>
      <c r="W65" s="8">
        <f>IFERROR(tblDisplaySheet[[#This Row],[Difference]], "")</f>
        <v>15</v>
      </c>
      <c r="X65" s="8" t="str">
        <f>IFERROR(tblDisplaySheet[[#This Row],[Status]], "")</f>
        <v>On Target</v>
      </c>
      <c r="Y65" s="24" t="str">
        <f>IFERROR(tblDisplaySheet[[#This Row],[Is Leaf?]], "")</f>
        <v>Y</v>
      </c>
      <c r="Z65" s="24" t="str">
        <f>IFERROR(IF(tblInputSheet[[#This Row],[Owner]] = "", "", tblInputSheet[[#This Row],[Owner]]), "")</f>
        <v>Alak</v>
      </c>
      <c r="AA65" s="24" t="str">
        <f>IFERROR(IF(tblInputSheet[[#This Row],[Notes]] = "", "", tblInputSheet[[#This Row],[Notes]]), "")</f>
        <v/>
      </c>
    </row>
    <row r="66" spans="1:27" hidden="1" x14ac:dyDescent="0.25">
      <c r="A66" s="9">
        <f>IFERROR(IF(tblInputSheet[[#This Row],[Level]] = "", "", tblInputSheet[[#This Row],[Level]]), "")</f>
        <v>9</v>
      </c>
      <c r="B66" s="9">
        <f>IFERROR(IF(tblInputSheet[[#This Row],[Sl.No]] = "", "", tblInputSheet[[#This Row],[Sl.No]]), "")</f>
        <v>64</v>
      </c>
      <c r="C66" s="9" t="str">
        <f>IFERROR(IF(tblInputSheet[[#This Row],[Group]] = "", "", tblInputSheet[[#This Row],[Group]]), "")</f>
        <v>Service Level - Pricing Engine</v>
      </c>
      <c r="D66" s="9" t="str">
        <f>IFERROR(IF(tblInputSheet[[#This Row],[Process]] = "", "", REPT("*",Demo!$A66)&amp;""&amp;tblInputSheet[[#This Row],[Process]]), "")</f>
        <v>*********AOC Vendor Response Service</v>
      </c>
      <c r="E66" s="9" t="str">
        <f>IFERROR(IF(tblInputSheet[[#This Row],[Hosted Platform]] = "", "", tblInputSheet[[#This Row],[Hosted Platform]]), "")</f>
        <v>PCF</v>
      </c>
      <c r="F66" s="9" t="str">
        <f>IFERROR(IF(tblInputSheet[[#This Row],[Provider]] = "-", "", tblInputSheet[[#This Row],[Provider]]), "")</f>
        <v>Key-Claims Adjudication</v>
      </c>
      <c r="G66" s="9" t="str">
        <f>IFERROR(IF(tblInputSheet[[#This Row],[Consumer]] = "-", "", tblInputSheet[[#This Row],[Consumer]]), "")</f>
        <v>Key-Claims Adjudication</v>
      </c>
      <c r="H66" s="9" t="str">
        <f>IFERROR(IF(tblInputSheet[[#This Row],[Integration Pattern]] = "-", "", tblInputSheet[[#This Row],[Integration Pattern]]), "")</f>
        <v xml:space="preserve">REST Service - MQ </v>
      </c>
      <c r="I66" s="9" t="str">
        <f>IFERROR(IF(tblInputSheet[[#This Row],[Current State]] = "-", "", tblInputSheet[[#This Row],[Current State]]), "")</f>
        <v>Y</v>
      </c>
      <c r="J66" s="9" t="str">
        <f>IFERROR(IF(tblInputSheet[[#This Row],[End State]] = "-", "", tblInputSheet[[#This Row],[End State]]), "")</f>
        <v>Y</v>
      </c>
      <c r="K66" s="9" t="str">
        <f>IFERROR(IF(tblInputSheet[[#This Row],[MVP]] = "-", "", tblInputSheet[[#This Row],[MVP]]), "")</f>
        <v>Y</v>
      </c>
      <c r="L66" s="8">
        <f>IFERROR(IF(tblInputSheet[[#This Row],[Count of Invocations]] = "", "", tblInputSheet[[#This Row],[Count of Invocations]]), "")</f>
        <v>1</v>
      </c>
      <c r="M66" s="18">
        <f>IFERROR(IF(tblInputSheet[[#This Row],[DB Calls (ms)]] = "", "", tblInputSheet[[#This Row],[DB Calls (ms)]]), "")</f>
        <v>0</v>
      </c>
      <c r="N66" s="18">
        <f>IFERROR(IF(tblInputSheet[[#This Row],[Logic (ms)]] = "", "", tblInputSheet[[#This Row],[Logic (ms)]]), "")</f>
        <v>20</v>
      </c>
      <c r="O66" s="18">
        <f>IFERROR(IF(tblInputSheet[[#This Row],[Rules (ms)]] = "", "", tblInputSheet[[#This Row],[Rules (ms)]]), "")</f>
        <v>0</v>
      </c>
      <c r="P66" s="18">
        <f>IFERROR(IF(tblInputSheet[[#This Row],[Latency (ms)]] = "", "", tblInputSheet[[#This Row],[Latency (ms)]]), "")</f>
        <v>15</v>
      </c>
      <c r="Q66" s="8">
        <f>IFERROR(SUM(tblDisplaySheet2[[#This Row],[DB Calls (ms)]:[Latency (ms)]]), "")</f>
        <v>35</v>
      </c>
      <c r="R66" s="8">
        <f>IFERROR(tblDisplaySheet[[#This Row],[Total Process Time]], "")</f>
        <v>35</v>
      </c>
      <c r="S66" s="8">
        <f>IFERROR(tblDisplaySheet[[#This Row],[Total Process Path Length]], "")</f>
        <v>35</v>
      </c>
      <c r="T66" s="8">
        <f>IFERROR(tblDisplaySheet[[#This Row],[Process NFR]], "")</f>
        <v>50</v>
      </c>
      <c r="U66" s="8">
        <f>IFERROR(tblDisplaySheet[[#This Row],[Total Process NFR]], "")</f>
        <v>50</v>
      </c>
      <c r="V66" s="8">
        <f>IFERROR(tblDisplaySheet[[#This Row],[Total Process Path Length NFR]], "")</f>
        <v>50</v>
      </c>
      <c r="W66" s="8">
        <f>IFERROR(tblDisplaySheet[[#This Row],[Difference]], "")</f>
        <v>15</v>
      </c>
      <c r="X66" s="8" t="str">
        <f>IFERROR(tblDisplaySheet[[#This Row],[Status]], "")</f>
        <v>On Target</v>
      </c>
      <c r="Y66" s="24" t="str">
        <f>IFERROR(tblDisplaySheet[[#This Row],[Is Leaf?]], "")</f>
        <v>Y</v>
      </c>
      <c r="Z66" s="24" t="str">
        <f>IFERROR(IF(tblInputSheet[[#This Row],[Owner]] = "", "", tblInputSheet[[#This Row],[Owner]]), "")</f>
        <v>Alak</v>
      </c>
      <c r="AA66" s="24" t="str">
        <f>IFERROR(IF(tblInputSheet[[#This Row],[Notes]] = "", "", tblInputSheet[[#This Row],[Notes]]), "")</f>
        <v/>
      </c>
    </row>
    <row r="67" spans="1:27" hidden="1" x14ac:dyDescent="0.25">
      <c r="A67" s="9">
        <f>IFERROR(IF(tblInputSheet[[#This Row],[Level]] = "", "", tblInputSheet[[#This Row],[Level]]), "")</f>
        <v>9</v>
      </c>
      <c r="B67" s="9">
        <f>IFERROR(IF(tblInputSheet[[#This Row],[Sl.No]] = "", "", tblInputSheet[[#This Row],[Sl.No]]), "")</f>
        <v>65</v>
      </c>
      <c r="C67" s="9" t="str">
        <f>IFERROR(IF(tblInputSheet[[#This Row],[Group]] = "", "", tblInputSheet[[#This Row],[Group]]), "")</f>
        <v>Service Level - Pricing Engine</v>
      </c>
      <c r="D67" s="9" t="str">
        <f>IFERROR(IF(tblInputSheet[[#This Row],[Process]] = "", "", REPT("*",Demo!$A67)&amp;""&amp;tblInputSheet[[#This Row],[Process]]), "")</f>
        <v>*********TPL Microservice</v>
      </c>
      <c r="E67" s="9" t="str">
        <f>IFERROR(IF(tblInputSheet[[#This Row],[Hosted Platform]] = "", "", tblInputSheet[[#This Row],[Hosted Platform]]), "")</f>
        <v>PCF</v>
      </c>
      <c r="F67" s="9" t="str">
        <f>IFERROR(IF(tblInputSheet[[#This Row],[Provider]] = "-", "", tblInputSheet[[#This Row],[Provider]]), "")</f>
        <v>Key-Claims Adjudication</v>
      </c>
      <c r="G67" s="9" t="str">
        <f>IFERROR(IF(tblInputSheet[[#This Row],[Consumer]] = "-", "", tblInputSheet[[#This Row],[Consumer]]), "")</f>
        <v>Key-Claims Adjudication</v>
      </c>
      <c r="H67" s="9" t="str">
        <f>IFERROR(IF(tblInputSheet[[#This Row],[Integration Pattern]] = "-", "", tblInputSheet[[#This Row],[Integration Pattern]]), "")</f>
        <v>REST Service - ESB</v>
      </c>
      <c r="I67" s="9" t="str">
        <f>IFERROR(IF(tblInputSheet[[#This Row],[Current State]] = "-", "", tblInputSheet[[#This Row],[Current State]]), "")</f>
        <v>Y</v>
      </c>
      <c r="J67" s="9" t="str">
        <f>IFERROR(IF(tblInputSheet[[#This Row],[End State]] = "-", "", tblInputSheet[[#This Row],[End State]]), "")</f>
        <v>Y</v>
      </c>
      <c r="K67" s="9" t="str">
        <f>IFERROR(IF(tblInputSheet[[#This Row],[MVP]] = "-", "", tblInputSheet[[#This Row],[MVP]]), "")</f>
        <v>Y</v>
      </c>
      <c r="L67" s="8">
        <f>IFERROR(IF(tblInputSheet[[#This Row],[Count of Invocations]] = "", "", tblInputSheet[[#This Row],[Count of Invocations]]), "")</f>
        <v>1</v>
      </c>
      <c r="M67" s="18">
        <f>IFERROR(IF(tblInputSheet[[#This Row],[DB Calls (ms)]] = "", "", tblInputSheet[[#This Row],[DB Calls (ms)]]), "")</f>
        <v>0</v>
      </c>
      <c r="N67" s="18">
        <f>IFERROR(IF(tblInputSheet[[#This Row],[Logic (ms)]] = "", "", tblInputSheet[[#This Row],[Logic (ms)]]), "")</f>
        <v>20</v>
      </c>
      <c r="O67" s="18">
        <f>IFERROR(IF(tblInputSheet[[#This Row],[Rules (ms)]] = "", "", tblInputSheet[[#This Row],[Rules (ms)]]), "")</f>
        <v>0</v>
      </c>
      <c r="P67" s="18">
        <f>IFERROR(IF(tblInputSheet[[#This Row],[Latency (ms)]] = "", "", tblInputSheet[[#This Row],[Latency (ms)]]), "")</f>
        <v>25</v>
      </c>
      <c r="Q67" s="8">
        <f>IFERROR(SUM(tblDisplaySheet2[[#This Row],[DB Calls (ms)]:[Latency (ms)]]), "")</f>
        <v>45</v>
      </c>
      <c r="R67" s="8">
        <f>IFERROR(tblDisplaySheet[[#This Row],[Total Process Time]], "")</f>
        <v>45</v>
      </c>
      <c r="S67" s="8">
        <f>IFERROR(tblDisplaySheet[[#This Row],[Total Process Path Length]], "")</f>
        <v>466</v>
      </c>
      <c r="T67" s="8">
        <f>IFERROR(tblDisplaySheet[[#This Row],[Process NFR]], "")</f>
        <v>50</v>
      </c>
      <c r="U67" s="8">
        <f>IFERROR(tblDisplaySheet[[#This Row],[Total Process NFR]], "")</f>
        <v>50</v>
      </c>
      <c r="V67" s="8">
        <f>IFERROR(tblDisplaySheet[[#This Row],[Total Process Path Length NFR]], "")</f>
        <v>476</v>
      </c>
      <c r="W67" s="8">
        <f>IFERROR(tblDisplaySheet[[#This Row],[Difference]], "")</f>
        <v>10</v>
      </c>
      <c r="X67" s="8" t="str">
        <f>IFERROR(tblDisplaySheet[[#This Row],[Status]], "")</f>
        <v>On Target</v>
      </c>
      <c r="Y67" s="24" t="str">
        <f>IFERROR(tblDisplaySheet[[#This Row],[Is Leaf?]], "")</f>
        <v>N</v>
      </c>
      <c r="Z67" s="24" t="str">
        <f>IFERROR(IF(tblInputSheet[[#This Row],[Owner]] = "", "", tblInputSheet[[#This Row],[Owner]]), "")</f>
        <v>Alak</v>
      </c>
      <c r="AA67" s="24" t="str">
        <f>IFERROR(IF(tblInputSheet[[#This Row],[Notes]] = "", "", tblInputSheet[[#This Row],[Notes]]), "")</f>
        <v/>
      </c>
    </row>
    <row r="68" spans="1:27" hidden="1" x14ac:dyDescent="0.25">
      <c r="A68" s="9">
        <f>IFERROR(IF(tblInputSheet[[#This Row],[Level]] = "", "", tblInputSheet[[#This Row],[Level]]), "")</f>
        <v>10</v>
      </c>
      <c r="B68" s="9">
        <f>IFERROR(IF(tblInputSheet[[#This Row],[Sl.No]] = "", "", tblInputSheet[[#This Row],[Sl.No]]), "")</f>
        <v>66</v>
      </c>
      <c r="C68" s="9" t="str">
        <f>IFERROR(IF(tblInputSheet[[#This Row],[Group]] = "", "", tblInputSheet[[#This Row],[Group]]), "")</f>
        <v>Service Level - Pricing Engine</v>
      </c>
      <c r="D68" s="9" t="str">
        <f>IFERROR(IF(tblInputSheet[[#This Row],[Process]] = "", "", REPT("*",Demo!$A68)&amp;""&amp;tblInputSheet[[#This Row],[Process]]), "")</f>
        <v>**********Contract API</v>
      </c>
      <c r="E68" s="9" t="str">
        <f>IFERROR(IF(tblInputSheet[[#This Row],[Hosted Platform]] = "", "", tblInputSheet[[#This Row],[Hosted Platform]]), "")</f>
        <v>PCF</v>
      </c>
      <c r="F68" s="9" t="str">
        <f>IFERROR(IF(tblInputSheet[[#This Row],[Provider]] = "-", "", tblInputSheet[[#This Row],[Provider]]), "")</f>
        <v>Key-Claims Adjudication</v>
      </c>
      <c r="G68" s="9" t="str">
        <f>IFERROR(IF(tblInputSheet[[#This Row],[Consumer]] = "-", "", tblInputSheet[[#This Row],[Consumer]]), "")</f>
        <v>Key-Claims Adjudication</v>
      </c>
      <c r="H68" s="9" t="str">
        <f>IFERROR(IF(tblInputSheet[[#This Row],[Integration Pattern]] = "-", "", tblInputSheet[[#This Row],[Integration Pattern]]), "")</f>
        <v>PCF Internal (C-to-C)</v>
      </c>
      <c r="I68" s="9" t="str">
        <f>IFERROR(IF(tblInputSheet[[#This Row],[Current State]] = "-", "", tblInputSheet[[#This Row],[Current State]]), "")</f>
        <v>Y</v>
      </c>
      <c r="J68" s="9" t="str">
        <f>IFERROR(IF(tblInputSheet[[#This Row],[End State]] = "-", "", tblInputSheet[[#This Row],[End State]]), "")</f>
        <v>Y</v>
      </c>
      <c r="K68" s="9" t="str">
        <f>IFERROR(IF(tblInputSheet[[#This Row],[MVP]] = "-", "", tblInputSheet[[#This Row],[MVP]]), "")</f>
        <v>Y</v>
      </c>
      <c r="L68" s="9">
        <f>IFERROR(IF(tblInputSheet[[#This Row],[Count of Invocations]] = "", "", tblInputSheet[[#This Row],[Count of Invocations]]), "")</f>
        <v>1</v>
      </c>
      <c r="M68" s="19">
        <f>IFERROR(IF(tblInputSheet[[#This Row],[DB Calls (ms)]] = "", "", tblInputSheet[[#This Row],[DB Calls (ms)]]), "")</f>
        <v>5</v>
      </c>
      <c r="N68" s="19">
        <f>IFERROR(IF(tblInputSheet[[#This Row],[Logic (ms)]] = "", "", tblInputSheet[[#This Row],[Logic (ms)]]), "")</f>
        <v>30</v>
      </c>
      <c r="O68" s="19">
        <f>IFERROR(IF(tblInputSheet[[#This Row],[Rules (ms)]] = "", "", tblInputSheet[[#This Row],[Rules (ms)]]), "")</f>
        <v>0</v>
      </c>
      <c r="P68" s="19">
        <f>IFERROR(IF(tblInputSheet[[#This Row],[Latency (ms)]] = "", "", tblInputSheet[[#This Row],[Latency (ms)]]), "")</f>
        <v>10</v>
      </c>
      <c r="Q68" s="9">
        <f>IFERROR(SUM(tblDisplaySheet2[[#This Row],[DB Calls (ms)]:[Latency (ms)]]), "")</f>
        <v>45</v>
      </c>
      <c r="R68" s="9">
        <f>IFERROR(tblDisplaySheet[[#This Row],[Total Process Time]], "")</f>
        <v>45</v>
      </c>
      <c r="S68" s="8">
        <f>IFERROR(tblDisplaySheet[[#This Row],[Total Process Path Length]], "")</f>
        <v>45</v>
      </c>
      <c r="T68" s="9">
        <f>IFERROR(tblDisplaySheet[[#This Row],[Process NFR]], "")</f>
        <v>50</v>
      </c>
      <c r="U68" s="9">
        <f>IFERROR(tblDisplaySheet[[#This Row],[Total Process NFR]], "")</f>
        <v>50</v>
      </c>
      <c r="V68" s="8">
        <f>IFERROR(tblDisplaySheet[[#This Row],[Total Process Path Length NFR]], "")</f>
        <v>50</v>
      </c>
      <c r="W68" s="9">
        <f>IFERROR(tblDisplaySheet[[#This Row],[Difference]], "")</f>
        <v>5</v>
      </c>
      <c r="X68" s="9" t="str">
        <f>IFERROR(tblDisplaySheet[[#This Row],[Status]], "")</f>
        <v>On Target</v>
      </c>
      <c r="Y68" s="24" t="str">
        <f>IFERROR(tblDisplaySheet[[#This Row],[Is Leaf?]], "")</f>
        <v>Y</v>
      </c>
      <c r="Z68" s="9" t="str">
        <f>IFERROR(IF(tblInputSheet[[#This Row],[Owner]] = "", "", tblInputSheet[[#This Row],[Owner]]), "")</f>
        <v>Greg</v>
      </c>
      <c r="AA68" s="9" t="str">
        <f>IFERROR(IF(tblInputSheet[[#This Row],[Notes]] = "", "", tblInputSheet[[#This Row],[Notes]]), "")</f>
        <v/>
      </c>
    </row>
    <row r="69" spans="1:27" hidden="1" x14ac:dyDescent="0.25">
      <c r="A69" s="9">
        <f>IFERROR(IF(tblInputSheet[[#This Row],[Level]] = "", "", tblInputSheet[[#This Row],[Level]]), "")</f>
        <v>10</v>
      </c>
      <c r="B69" s="9">
        <f>IFERROR(IF(tblInputSheet[[#This Row],[Sl.No]] = "", "", tblInputSheet[[#This Row],[Sl.No]]), "")</f>
        <v>67</v>
      </c>
      <c r="C69" s="9" t="str">
        <f>IFERROR(IF(tblInputSheet[[#This Row],[Group]] = "", "", tblInputSheet[[#This Row],[Group]]), "")</f>
        <v>Service Level - Pricing Engine</v>
      </c>
      <c r="D69" s="9" t="str">
        <f>IFERROR(IF(tblInputSheet[[#This Row],[Process]] = "", "", REPT("*",Demo!$A69)&amp;""&amp;tblInputSheet[[#This Row],[Process]]), "")</f>
        <v>**********TPL Mule Adapter</v>
      </c>
      <c r="E69" s="9" t="str">
        <f>IFERROR(IF(tblInputSheet[[#This Row],[Hosted Platform]] = "", "", tblInputSheet[[#This Row],[Hosted Platform]]), "")</f>
        <v>Mule ESB</v>
      </c>
      <c r="F69" s="9" t="str">
        <f>IFERROR(IF(tblInputSheet[[#This Row],[Provider]] = "-", "", tblInputSheet[[#This Row],[Provider]]), "")</f>
        <v>Key-Claims Adjudication</v>
      </c>
      <c r="G69" s="9" t="str">
        <f>IFERROR(IF(tblInputSheet[[#This Row],[Consumer]] = "-", "", tblInputSheet[[#This Row],[Consumer]]), "")</f>
        <v>Other</v>
      </c>
      <c r="H69" s="9" t="str">
        <f>IFERROR(IF(tblInputSheet[[#This Row],[Integration Pattern]] = "-", "", tblInputSheet[[#This Row],[Integration Pattern]]), "")</f>
        <v>ESB - CTG Integration</v>
      </c>
      <c r="I69" s="9" t="str">
        <f>IFERROR(IF(tblInputSheet[[#This Row],[Current State]] = "-", "", tblInputSheet[[#This Row],[Current State]]), "")</f>
        <v>Y</v>
      </c>
      <c r="J69" s="9" t="str">
        <f>IFERROR(IF(tblInputSheet[[#This Row],[End State]] = "-", "", tblInputSheet[[#This Row],[End State]]), "")</f>
        <v>N</v>
      </c>
      <c r="K69" s="9" t="str">
        <f>IFERROR(IF(tblInputSheet[[#This Row],[MVP]] = "-", "", tblInputSheet[[#This Row],[MVP]]), "")</f>
        <v>Y</v>
      </c>
      <c r="L69" s="9">
        <f>IFERROR(IF(tblInputSheet[[#This Row],[Count of Invocations]] = "", "", tblInputSheet[[#This Row],[Count of Invocations]]), "")</f>
        <v>1</v>
      </c>
      <c r="M69" s="19">
        <f>IFERROR(IF(tblInputSheet[[#This Row],[DB Calls (ms)]] = "", "", tblInputSheet[[#This Row],[DB Calls (ms)]]), "")</f>
        <v>0</v>
      </c>
      <c r="N69" s="19">
        <f>IFERROR(IF(tblInputSheet[[#This Row],[Logic (ms)]] = "", "", tblInputSheet[[#This Row],[Logic (ms)]]), "")</f>
        <v>70</v>
      </c>
      <c r="O69" s="19">
        <f>IFERROR(IF(tblInputSheet[[#This Row],[Rules (ms)]] = "", "", tblInputSheet[[#This Row],[Rules (ms)]]), "")</f>
        <v>0</v>
      </c>
      <c r="P69" s="19">
        <f>IFERROR(IF(tblInputSheet[[#This Row],[Latency (ms)]] = "", "", tblInputSheet[[#This Row],[Latency (ms)]]), "")</f>
        <v>55</v>
      </c>
      <c r="Q69" s="9">
        <f>IFERROR(SUM(tblDisplaySheet2[[#This Row],[DB Calls (ms)]:[Latency (ms)]]), "")</f>
        <v>125</v>
      </c>
      <c r="R69" s="9">
        <f>IFERROR(tblDisplaySheet[[#This Row],[Total Process Time]], "")</f>
        <v>125</v>
      </c>
      <c r="S69" s="8">
        <f>IFERROR(tblDisplaySheet[[#This Row],[Total Process Path Length]], "")</f>
        <v>376</v>
      </c>
      <c r="T69" s="9">
        <f>IFERROR(tblDisplaySheet[[#This Row],[Process NFR]], "")</f>
        <v>125</v>
      </c>
      <c r="U69" s="9">
        <f>IFERROR(tblDisplaySheet[[#This Row],[Total Process NFR]], "")</f>
        <v>125</v>
      </c>
      <c r="V69" s="8">
        <f>IFERROR(tblDisplaySheet[[#This Row],[Total Process Path Length NFR]], "")</f>
        <v>376</v>
      </c>
      <c r="W69" s="9">
        <f>IFERROR(tblDisplaySheet[[#This Row],[Difference]], "")</f>
        <v>0</v>
      </c>
      <c r="X69" s="9" t="str">
        <f>IFERROR(tblDisplaySheet[[#This Row],[Status]], "")</f>
        <v>On Target</v>
      </c>
      <c r="Y69" s="24" t="str">
        <f>IFERROR(tblDisplaySheet[[#This Row],[Is Leaf?]], "")</f>
        <v>N</v>
      </c>
      <c r="Z69" s="9" t="str">
        <f>IFERROR(IF(tblInputSheet[[#This Row],[Owner]] = "", "", tblInputSheet[[#This Row],[Owner]]), "")</f>
        <v>Alak</v>
      </c>
      <c r="AA69" s="9" t="str">
        <f>IFERROR(IF(tblInputSheet[[#This Row],[Notes]] = "", "", tblInputSheet[[#This Row],[Notes]]), "")</f>
        <v/>
      </c>
    </row>
    <row r="70" spans="1:27" hidden="1" x14ac:dyDescent="0.25">
      <c r="A70" s="9">
        <f>IFERROR(IF(tblInputSheet[[#This Row],[Level]] = "", "", tblInputSheet[[#This Row],[Level]]), "")</f>
        <v>11</v>
      </c>
      <c r="B70" s="9">
        <f>IFERROR(IF(tblInputSheet[[#This Row],[Sl.No]] = "", "", tblInputSheet[[#This Row],[Sl.No]]), "")</f>
        <v>68</v>
      </c>
      <c r="C70" s="9" t="str">
        <f>IFERROR(IF(tblInputSheet[[#This Row],[Group]] = "", "", tblInputSheet[[#This Row],[Group]]), "")</f>
        <v>Service Level - Pricing Engine</v>
      </c>
      <c r="D70" s="9" t="str">
        <f>IFERROR(IF(tblInputSheet[[#This Row],[Process]] = "", "", REPT("*",Demo!$A70)&amp;""&amp;tblInputSheet[[#This Row],[Process]]), "")</f>
        <v>***********Invoker</v>
      </c>
      <c r="E70" s="9" t="str">
        <f>IFERROR(IF(tblInputSheet[[#This Row],[Hosted Platform]] = "", "", tblInputSheet[[#This Row],[Hosted Platform]]), "")</f>
        <v>Legacy BC</v>
      </c>
      <c r="F70" s="9" t="str">
        <f>IFERROR(IF(tblInputSheet[[#This Row],[Provider]] = "-", "", tblInputSheet[[#This Row],[Provider]]), "")</f>
        <v>Claims-Legacy</v>
      </c>
      <c r="G70" s="9" t="str">
        <f>IFERROR(IF(tblInputSheet[[#This Row],[Consumer]] = "-", "", tblInputSheet[[#This Row],[Consumer]]), "")</f>
        <v>Claims-Legacy</v>
      </c>
      <c r="H70" s="9" t="str">
        <f>IFERROR(IF(tblInputSheet[[#This Row],[Integration Pattern]] = "-", "", tblInputSheet[[#This Row],[Integration Pattern]]), "")</f>
        <v>BC Internal</v>
      </c>
      <c r="I70" s="9" t="str">
        <f>IFERROR(IF(tblInputSheet[[#This Row],[Current State]] = "-", "", tblInputSheet[[#This Row],[Current State]]), "")</f>
        <v>Y</v>
      </c>
      <c r="J70" s="9" t="str">
        <f>IFERROR(IF(tblInputSheet[[#This Row],[End State]] = "-", "", tblInputSheet[[#This Row],[End State]]), "")</f>
        <v>Y</v>
      </c>
      <c r="K70" s="9" t="str">
        <f>IFERROR(IF(tblInputSheet[[#This Row],[MVP]] = "-", "", tblInputSheet[[#This Row],[MVP]]), "")</f>
        <v>Y</v>
      </c>
      <c r="L70" s="9">
        <f>IFERROR(IF(tblInputSheet[[#This Row],[Count of Invocations]] = "", "", tblInputSheet[[#This Row],[Count of Invocations]]), "")</f>
        <v>1</v>
      </c>
      <c r="M70" s="19">
        <f>IFERROR(IF(tblInputSheet[[#This Row],[DB Calls (ms)]] = "", "", tblInputSheet[[#This Row],[DB Calls (ms)]]), "")</f>
        <v>0</v>
      </c>
      <c r="N70" s="19">
        <f>IFERROR(IF(tblInputSheet[[#This Row],[Logic (ms)]] = "", "", tblInputSheet[[#This Row],[Logic (ms)]]), "")</f>
        <v>1</v>
      </c>
      <c r="O70" s="19">
        <f>IFERROR(IF(tblInputSheet[[#This Row],[Rules (ms)]] = "", "", tblInputSheet[[#This Row],[Rules (ms)]]), "")</f>
        <v>0</v>
      </c>
      <c r="P70" s="19">
        <f>IFERROR(IF(tblInputSheet[[#This Row],[Latency (ms)]] = "", "", tblInputSheet[[#This Row],[Latency (ms)]]), "")</f>
        <v>0</v>
      </c>
      <c r="Q70" s="9">
        <f>IFERROR(SUM(tblDisplaySheet2[[#This Row],[DB Calls (ms)]:[Latency (ms)]]), "")</f>
        <v>1</v>
      </c>
      <c r="R70" s="9">
        <f>IFERROR(tblDisplaySheet[[#This Row],[Total Process Time]], "")</f>
        <v>1</v>
      </c>
      <c r="S70" s="8">
        <f>IFERROR(tblDisplaySheet[[#This Row],[Total Process Path Length]], "")</f>
        <v>251</v>
      </c>
      <c r="T70" s="9">
        <f>IFERROR(tblDisplaySheet[[#This Row],[Process NFR]], "")</f>
        <v>1</v>
      </c>
      <c r="U70" s="9">
        <f>IFERROR(tblDisplaySheet[[#This Row],[Total Process NFR]], "")</f>
        <v>1</v>
      </c>
      <c r="V70" s="8">
        <f>IFERROR(tblDisplaySheet[[#This Row],[Total Process Path Length NFR]], "")</f>
        <v>251</v>
      </c>
      <c r="W70" s="9">
        <f>IFERROR(tblDisplaySheet[[#This Row],[Difference]], "")</f>
        <v>0</v>
      </c>
      <c r="X70" s="9" t="str">
        <f>IFERROR(tblDisplaySheet[[#This Row],[Status]], "")</f>
        <v>On Target</v>
      </c>
      <c r="Y70" s="24" t="str">
        <f>IFERROR(tblDisplaySheet[[#This Row],[Is Leaf?]], "")</f>
        <v>N</v>
      </c>
      <c r="Z70" s="9" t="str">
        <f>IFERROR(IF(tblInputSheet[[#This Row],[Owner]] = "", "", tblInputSheet[[#This Row],[Owner]]), "")</f>
        <v>Alak</v>
      </c>
      <c r="AA70" s="9" t="str">
        <f>IFERROR(IF(tblInputSheet[[#This Row],[Notes]] = "", "", tblInputSheet[[#This Row],[Notes]]), "")</f>
        <v/>
      </c>
    </row>
    <row r="71" spans="1:27" hidden="1" x14ac:dyDescent="0.25">
      <c r="A71" s="9">
        <f>IFERROR(IF(tblInputSheet[[#This Row],[Level]] = "", "", tblInputSheet[[#This Row],[Level]]), "")</f>
        <v>12</v>
      </c>
      <c r="B71" s="9">
        <f>IFERROR(IF(tblInputSheet[[#This Row],[Sl.No]] = "", "", tblInputSheet[[#This Row],[Sl.No]]), "")</f>
        <v>69</v>
      </c>
      <c r="C71" s="9" t="str">
        <f>IFERROR(IF(tblInputSheet[[#This Row],[Group]] = "", "", tblInputSheet[[#This Row],[Group]]), "")</f>
        <v>Service Level - Pricing Engine</v>
      </c>
      <c r="D71" s="9" t="str">
        <f>IFERROR(IF(tblInputSheet[[#This Row],[Process]] = "", "", REPT("*",Demo!$A71)&amp;""&amp;tblInputSheet[[#This Row],[Process]]), "")</f>
        <v>************TPL Legacy Module</v>
      </c>
      <c r="E71" s="9" t="str">
        <f>IFERROR(IF(tblInputSheet[[#This Row],[Hosted Platform]] = "", "", tblInputSheet[[#This Row],[Hosted Platform]]), "")</f>
        <v>Legacy BC</v>
      </c>
      <c r="F71" s="9" t="str">
        <f>IFERROR(IF(tblInputSheet[[#This Row],[Provider]] = "-", "", tblInputSheet[[#This Row],[Provider]]), "")</f>
        <v>Claims-Legacy</v>
      </c>
      <c r="G71" s="9" t="str">
        <f>IFERROR(IF(tblInputSheet[[#This Row],[Consumer]] = "-", "", tblInputSheet[[#This Row],[Consumer]]), "")</f>
        <v>Claims-Legacy</v>
      </c>
      <c r="H71" s="9" t="str">
        <f>IFERROR(IF(tblInputSheet[[#This Row],[Integration Pattern]] = "-", "", tblInputSheet[[#This Row],[Integration Pattern]]), "")</f>
        <v>BC Internal</v>
      </c>
      <c r="I71" s="9" t="str">
        <f>IFERROR(IF(tblInputSheet[[#This Row],[Current State]] = "-", "", tblInputSheet[[#This Row],[Current State]]), "")</f>
        <v>Y</v>
      </c>
      <c r="J71" s="9" t="str">
        <f>IFERROR(IF(tblInputSheet[[#This Row],[End State]] = "-", "", tblInputSheet[[#This Row],[End State]]), "")</f>
        <v>Y</v>
      </c>
      <c r="K71" s="9" t="str">
        <f>IFERROR(IF(tblInputSheet[[#This Row],[MVP]] = "-", "", tblInputSheet[[#This Row],[MVP]]), "")</f>
        <v>Y</v>
      </c>
      <c r="L71" s="9">
        <f>IFERROR(IF(tblInputSheet[[#This Row],[Count of Invocations]] = "", "", tblInputSheet[[#This Row],[Count of Invocations]]), "")</f>
        <v>1</v>
      </c>
      <c r="M71" s="19">
        <f>IFERROR(IF(tblInputSheet[[#This Row],[DB Calls (ms)]] = "", "", tblInputSheet[[#This Row],[DB Calls (ms)]]), "")</f>
        <v>0</v>
      </c>
      <c r="N71" s="19">
        <f>IFERROR(IF(tblInputSheet[[#This Row],[Logic (ms)]] = "", "", tblInputSheet[[#This Row],[Logic (ms)]]), "")</f>
        <v>225</v>
      </c>
      <c r="O71" s="19">
        <f>IFERROR(IF(tblInputSheet[[#This Row],[Rules (ms)]] = "", "", tblInputSheet[[#This Row],[Rules (ms)]]), "")</f>
        <v>0</v>
      </c>
      <c r="P71" s="19">
        <f>IFERROR(IF(tblInputSheet[[#This Row],[Latency (ms)]] = "", "", tblInputSheet[[#This Row],[Latency (ms)]]), "")</f>
        <v>25</v>
      </c>
      <c r="Q71" s="9">
        <f>IFERROR(SUM(tblDisplaySheet2[[#This Row],[DB Calls (ms)]:[Latency (ms)]]), "")</f>
        <v>250</v>
      </c>
      <c r="R71" s="9">
        <f>IFERROR(tblDisplaySheet[[#This Row],[Total Process Time]], "")</f>
        <v>250</v>
      </c>
      <c r="S71" s="8">
        <f>IFERROR(tblDisplaySheet[[#This Row],[Total Process Path Length]], "")</f>
        <v>250</v>
      </c>
      <c r="T71" s="9">
        <f>IFERROR(tblDisplaySheet[[#This Row],[Process NFR]], "")</f>
        <v>250</v>
      </c>
      <c r="U71" s="9">
        <f>IFERROR(tblDisplaySheet[[#This Row],[Total Process NFR]], "")</f>
        <v>250</v>
      </c>
      <c r="V71" s="8">
        <f>IFERROR(tblDisplaySheet[[#This Row],[Total Process Path Length NFR]], "")</f>
        <v>250</v>
      </c>
      <c r="W71" s="9">
        <f>IFERROR(tblDisplaySheet[[#This Row],[Difference]], "")</f>
        <v>0</v>
      </c>
      <c r="X71" s="9" t="str">
        <f>IFERROR(tblDisplaySheet[[#This Row],[Status]], "")</f>
        <v>On Target</v>
      </c>
      <c r="Y71" s="24" t="str">
        <f>IFERROR(tblDisplaySheet[[#This Row],[Is Leaf?]], "")</f>
        <v>Y</v>
      </c>
      <c r="Z71" s="9" t="str">
        <f>IFERROR(IF(tblInputSheet[[#This Row],[Owner]] = "", "", tblInputSheet[[#This Row],[Owner]]), "")</f>
        <v>Alak</v>
      </c>
      <c r="AA71" s="9" t="str">
        <f>IFERROR(IF(tblInputSheet[[#This Row],[Notes]] = "", "", tblInputSheet[[#This Row],[Notes]]), "")</f>
        <v/>
      </c>
    </row>
    <row r="72" spans="1:27" hidden="1" x14ac:dyDescent="0.25">
      <c r="A72" s="9">
        <f>IFERROR(IF(tblInputSheet[[#This Row],[Level]] = "", "", tblInputSheet[[#This Row],[Level]]), "")</f>
        <v>7</v>
      </c>
      <c r="B72" s="9">
        <f>IFERROR(IF(tblInputSheet[[#This Row],[Sl.No]] = "", "", tblInputSheet[[#This Row],[Sl.No]]), "")</f>
        <v>70</v>
      </c>
      <c r="C72" s="9" t="str">
        <f>IFERROR(IF(tblInputSheet[[#This Row],[Group]] = "", "", tblInputSheet[[#This Row],[Group]]), "")</f>
        <v>Service Level - Accums</v>
      </c>
      <c r="D72" s="9" t="str">
        <f>IFERROR(IF(tblInputSheet[[#This Row],[Process]] = "", "", REPT("*",Demo!$A72)&amp;""&amp;tblInputSheet[[#This Row],[Process]]), "")</f>
        <v>*******Accums</v>
      </c>
      <c r="E72" s="9" t="str">
        <f>IFERROR(IF(tblInputSheet[[#This Row],[Hosted Platform]] = "", "", tblInputSheet[[#This Row],[Hosted Platform]]), "")</f>
        <v>Business Process</v>
      </c>
      <c r="F72" s="9" t="str">
        <f>IFERROR(IF(tblInputSheet[[#This Row],[Provider]] = "-", "", tblInputSheet[[#This Row],[Provider]]), "")</f>
        <v>NA</v>
      </c>
      <c r="G72" s="9" t="str">
        <f>IFERROR(IF(tblInputSheet[[#This Row],[Consumer]] = "-", "", tblInputSheet[[#This Row],[Consumer]]), "")</f>
        <v>NA</v>
      </c>
      <c r="H72" s="9" t="str">
        <f>IFERROR(IF(tblInputSheet[[#This Row],[Integration Pattern]] = "-", "", tblInputSheet[[#This Row],[Integration Pattern]]), "")</f>
        <v>Group</v>
      </c>
      <c r="I72" s="9" t="str">
        <f>IFERROR(IF(tblInputSheet[[#This Row],[Current State]] = "-", "", tblInputSheet[[#This Row],[Current State]]), "")</f>
        <v>Y</v>
      </c>
      <c r="J72" s="9" t="str">
        <f>IFERROR(IF(tblInputSheet[[#This Row],[End State]] = "-", "", tblInputSheet[[#This Row],[End State]]), "")</f>
        <v>Y</v>
      </c>
      <c r="K72" s="9" t="str">
        <f>IFERROR(IF(tblInputSheet[[#This Row],[MVP]] = "-", "", tblInputSheet[[#This Row],[MVP]]), "")</f>
        <v>Y</v>
      </c>
      <c r="L72" s="9">
        <f>IFERROR(IF(tblInputSheet[[#This Row],[Count of Invocations]] = "", "", tblInputSheet[[#This Row],[Count of Invocations]]), "")</f>
        <v>1</v>
      </c>
      <c r="M72" s="19">
        <f>IFERROR(IF(tblInputSheet[[#This Row],[DB Calls (ms)]] = "", "", tblInputSheet[[#This Row],[DB Calls (ms)]]), "")</f>
        <v>0</v>
      </c>
      <c r="N72" s="19">
        <f>IFERROR(IF(tblInputSheet[[#This Row],[Logic (ms)]] = "", "", tblInputSheet[[#This Row],[Logic (ms)]]), "")</f>
        <v>0</v>
      </c>
      <c r="O72" s="19">
        <f>IFERROR(IF(tblInputSheet[[#This Row],[Rules (ms)]] = "", "", tblInputSheet[[#This Row],[Rules (ms)]]), "")</f>
        <v>0</v>
      </c>
      <c r="P72" s="19">
        <f>IFERROR(IF(tblInputSheet[[#This Row],[Latency (ms)]] = "", "", tblInputSheet[[#This Row],[Latency (ms)]]), "")</f>
        <v>0</v>
      </c>
      <c r="Q72" s="9">
        <f>IFERROR(SUM(tblDisplaySheet2[[#This Row],[DB Calls (ms)]:[Latency (ms)]]), "")</f>
        <v>0</v>
      </c>
      <c r="R72" s="9">
        <f>IFERROR(tblDisplaySheet[[#This Row],[Total Process Time]], "")</f>
        <v>0</v>
      </c>
      <c r="S72" s="8">
        <f>IFERROR(tblDisplaySheet[[#This Row],[Total Process Path Length]], "")</f>
        <v>297</v>
      </c>
      <c r="T72" s="9">
        <f>IFERROR(tblDisplaySheet[[#This Row],[Process NFR]], "")</f>
        <v>0</v>
      </c>
      <c r="U72" s="9">
        <f>IFERROR(tblDisplaySheet[[#This Row],[Total Process NFR]], "")</f>
        <v>0</v>
      </c>
      <c r="V72" s="8">
        <f>IFERROR(tblDisplaySheet[[#This Row],[Total Process Path Length NFR]], "")</f>
        <v>400</v>
      </c>
      <c r="W72" s="9">
        <f>IFERROR(tblDisplaySheet[[#This Row],[Difference]], "")</f>
        <v>103</v>
      </c>
      <c r="X72" s="9" t="str">
        <f>IFERROR(tblDisplaySheet[[#This Row],[Status]], "")</f>
        <v>On Target</v>
      </c>
      <c r="Y72" s="24" t="str">
        <f>IFERROR(tblDisplaySheet[[#This Row],[Is Leaf?]], "")</f>
        <v>G</v>
      </c>
      <c r="Z72" s="9" t="str">
        <f>IFERROR(IF(tblInputSheet[[#This Row],[Owner]] = "", "", tblInputSheet[[#This Row],[Owner]]), "")</f>
        <v>Sankar</v>
      </c>
      <c r="AA72" s="9" t="str">
        <f>IFERROR(IF(tblInputSheet[[#This Row],[Notes]] = "", "", tblInputSheet[[#This Row],[Notes]]), "")</f>
        <v/>
      </c>
    </row>
    <row r="73" spans="1:27" hidden="1" x14ac:dyDescent="0.25">
      <c r="A73" s="9">
        <f>IFERROR(IF(tblInputSheet[[#This Row],[Level]] = "", "", tblInputSheet[[#This Row],[Level]]), "")</f>
        <v>8</v>
      </c>
      <c r="B73" s="9">
        <f>IFERROR(IF(tblInputSheet[[#This Row],[Sl.No]] = "", "", tblInputSheet[[#This Row],[Sl.No]]), "")</f>
        <v>71</v>
      </c>
      <c r="C73" s="9" t="str">
        <f>IFERROR(IF(tblInputSheet[[#This Row],[Group]] = "", "", tblInputSheet[[#This Row],[Group]]), "")</f>
        <v>Service Level - Accums</v>
      </c>
      <c r="D73" s="9" t="str">
        <f>IFERROR(IF(tblInputSheet[[#This Row],[Process]] = "", "", REPT("*",Demo!$A73)&amp;""&amp;tblInputSheet[[#This Row],[Process]]), "")</f>
        <v>********Accums Calculation Microservice</v>
      </c>
      <c r="E73" s="9" t="str">
        <f>IFERROR(IF(tblInputSheet[[#This Row],[Hosted Platform]] = "", "", tblInputSheet[[#This Row],[Hosted Platform]]), "")</f>
        <v>PCF</v>
      </c>
      <c r="F73" s="9" t="str">
        <f>IFERROR(IF(tblInputSheet[[#This Row],[Provider]] = "-", "", tblInputSheet[[#This Row],[Provider]]), "")</f>
        <v>Key-Claims Adjudication</v>
      </c>
      <c r="G73" s="9" t="str">
        <f>IFERROR(IF(tblInputSheet[[#This Row],[Consumer]] = "-", "", tblInputSheet[[#This Row],[Consumer]]), "")</f>
        <v>Key-Claims Adjudication</v>
      </c>
      <c r="H73" s="9" t="str">
        <f>IFERROR(IF(tblInputSheet[[#This Row],[Integration Pattern]] = "-", "", tblInputSheet[[#This Row],[Integration Pattern]]), "")</f>
        <v>PCF Internal (C-to-C)</v>
      </c>
      <c r="I73" s="9" t="str">
        <f>IFERROR(IF(tblInputSheet[[#This Row],[Current State]] = "-", "", tblInputSheet[[#This Row],[Current State]]), "")</f>
        <v>Y</v>
      </c>
      <c r="J73" s="9" t="str">
        <f>IFERROR(IF(tblInputSheet[[#This Row],[End State]] = "-", "", tblInputSheet[[#This Row],[End State]]), "")</f>
        <v>Y</v>
      </c>
      <c r="K73" s="9" t="str">
        <f>IFERROR(IF(tblInputSheet[[#This Row],[MVP]] = "-", "", tblInputSheet[[#This Row],[MVP]]), "")</f>
        <v>Y</v>
      </c>
      <c r="L73" s="9">
        <f>IFERROR(IF(tblInputSheet[[#This Row],[Count of Invocations]] = "", "", tblInputSheet[[#This Row],[Count of Invocations]]), "")</f>
        <v>1</v>
      </c>
      <c r="M73" s="19">
        <f>IFERROR(IF(tblInputSheet[[#This Row],[DB Calls (ms)]] = "", "", tblInputSheet[[#This Row],[DB Calls (ms)]]), "")</f>
        <v>5</v>
      </c>
      <c r="N73" s="19">
        <f>IFERROR(IF(tblInputSheet[[#This Row],[Logic (ms)]] = "", "", tblInputSheet[[#This Row],[Logic (ms)]]), "")</f>
        <v>100</v>
      </c>
      <c r="O73" s="19">
        <f>IFERROR(IF(tblInputSheet[[#This Row],[Rules (ms)]] = "", "", tblInputSheet[[#This Row],[Rules (ms)]]), "")</f>
        <v>0</v>
      </c>
      <c r="P73" s="19">
        <f>IFERROR(IF(tblInputSheet[[#This Row],[Latency (ms)]] = "", "", tblInputSheet[[#This Row],[Latency (ms)]]), "")</f>
        <v>5</v>
      </c>
      <c r="Q73" s="9">
        <f>IFERROR(SUM(tblDisplaySheet2[[#This Row],[DB Calls (ms)]:[Latency (ms)]]), "")</f>
        <v>110</v>
      </c>
      <c r="R73" s="9">
        <f>IFERROR(tblDisplaySheet[[#This Row],[Total Process Time]], "")</f>
        <v>110</v>
      </c>
      <c r="S73" s="8">
        <f>IFERROR(tblDisplaySheet[[#This Row],[Total Process Path Length]], "")</f>
        <v>177</v>
      </c>
      <c r="T73" s="9">
        <f>IFERROR(tblDisplaySheet[[#This Row],[Process NFR]], "")</f>
        <v>140</v>
      </c>
      <c r="U73" s="9">
        <f>IFERROR(tblDisplaySheet[[#This Row],[Total Process NFR]], "")</f>
        <v>140</v>
      </c>
      <c r="V73" s="8">
        <f>IFERROR(tblDisplaySheet[[#This Row],[Total Process Path Length NFR]], "")</f>
        <v>250</v>
      </c>
      <c r="W73" s="9">
        <f>IFERROR(tblDisplaySheet[[#This Row],[Difference]], "")</f>
        <v>73</v>
      </c>
      <c r="X73" s="9" t="str">
        <f>IFERROR(tblDisplaySheet[[#This Row],[Status]], "")</f>
        <v>On Target</v>
      </c>
      <c r="Y73" s="24" t="str">
        <f>IFERROR(tblDisplaySheet[[#This Row],[Is Leaf?]], "")</f>
        <v>N</v>
      </c>
      <c r="Z73" s="9" t="str">
        <f>IFERROR(IF(tblInputSheet[[#This Row],[Owner]] = "", "", tblInputSheet[[#This Row],[Owner]]), "")</f>
        <v>Sankar</v>
      </c>
      <c r="AA73" s="9" t="str">
        <f>IFERROR(IF(tblInputSheet[[#This Row],[Notes]] = "", "", tblInputSheet[[#This Row],[Notes]]), "")</f>
        <v/>
      </c>
    </row>
    <row r="74" spans="1:27" hidden="1" x14ac:dyDescent="0.25">
      <c r="A74" s="9">
        <f>IFERROR(IF(tblInputSheet[[#This Row],[Level]] = "", "", tblInputSheet[[#This Row],[Level]]), "")</f>
        <v>9</v>
      </c>
      <c r="B74" s="9">
        <f>IFERROR(IF(tblInputSheet[[#This Row],[Sl.No]] = "", "", tblInputSheet[[#This Row],[Sl.No]]), "")</f>
        <v>72</v>
      </c>
      <c r="C74" s="9" t="str">
        <f>IFERROR(IF(tblInputSheet[[#This Row],[Group]] = "", "", tblInputSheet[[#This Row],[Group]]), "")</f>
        <v>Service Level - Accums</v>
      </c>
      <c r="D74" s="9" t="str">
        <f>IFERROR(IF(tblInputSheet[[#This Row],[Process]] = "", "", REPT("*",Demo!$A74)&amp;""&amp;tblInputSheet[[#This Row],[Process]]), "")</f>
        <v>*********Contract API</v>
      </c>
      <c r="E74" s="9" t="str">
        <f>IFERROR(IF(tblInputSheet[[#This Row],[Hosted Platform]] = "", "", tblInputSheet[[#This Row],[Hosted Platform]]), "")</f>
        <v>PCF</v>
      </c>
      <c r="F74" s="9" t="str">
        <f>IFERROR(IF(tblInputSheet[[#This Row],[Provider]] = "-", "", tblInputSheet[[#This Row],[Provider]]), "")</f>
        <v>Key-Claims Adjudication</v>
      </c>
      <c r="G74" s="9" t="str">
        <f>IFERROR(IF(tblInputSheet[[#This Row],[Consumer]] = "-", "", tblInputSheet[[#This Row],[Consumer]]), "")</f>
        <v>Key-Claims Adjudication</v>
      </c>
      <c r="H74" s="9" t="str">
        <f>IFERROR(IF(tblInputSheet[[#This Row],[Integration Pattern]] = "-", "", tblInputSheet[[#This Row],[Integration Pattern]]), "")</f>
        <v>PCF Internal (C-to-C)</v>
      </c>
      <c r="I74" s="9" t="str">
        <f>IFERROR(IF(tblInputSheet[[#This Row],[Current State]] = "-", "", tblInputSheet[[#This Row],[Current State]]), "")</f>
        <v>Y</v>
      </c>
      <c r="J74" s="9" t="str">
        <f>IFERROR(IF(tblInputSheet[[#This Row],[End State]] = "-", "", tblInputSheet[[#This Row],[End State]]), "")</f>
        <v>Y</v>
      </c>
      <c r="K74" s="9" t="str">
        <f>IFERROR(IF(tblInputSheet[[#This Row],[MVP]] = "-", "", tblInputSheet[[#This Row],[MVP]]), "")</f>
        <v>Y</v>
      </c>
      <c r="L74" s="9">
        <f>IFERROR(IF(tblInputSheet[[#This Row],[Count of Invocations]] = "", "", tblInputSheet[[#This Row],[Count of Invocations]]), "")</f>
        <v>1</v>
      </c>
      <c r="M74" s="19">
        <f>IFERROR(IF(tblInputSheet[[#This Row],[DB Calls (ms)]] = "", "", tblInputSheet[[#This Row],[DB Calls (ms)]]), "")</f>
        <v>5</v>
      </c>
      <c r="N74" s="19">
        <f>IFERROR(IF(tblInputSheet[[#This Row],[Logic (ms)]] = "", "", tblInputSheet[[#This Row],[Logic (ms)]]), "")</f>
        <v>30</v>
      </c>
      <c r="O74" s="19">
        <f>IFERROR(IF(tblInputSheet[[#This Row],[Rules (ms)]] = "", "", tblInputSheet[[#This Row],[Rules (ms)]]), "")</f>
        <v>0</v>
      </c>
      <c r="P74" s="19">
        <f>IFERROR(IF(tblInputSheet[[#This Row],[Latency (ms)]] = "", "", tblInputSheet[[#This Row],[Latency (ms)]]), "")</f>
        <v>10</v>
      </c>
      <c r="Q74" s="9">
        <f>IFERROR(SUM(tblDisplaySheet2[[#This Row],[DB Calls (ms)]:[Latency (ms)]]), "")</f>
        <v>45</v>
      </c>
      <c r="R74" s="9">
        <f>IFERROR(tblDisplaySheet[[#This Row],[Total Process Time]], "")</f>
        <v>45</v>
      </c>
      <c r="S74" s="8">
        <f>IFERROR(tblDisplaySheet[[#This Row],[Total Process Path Length]], "")</f>
        <v>45</v>
      </c>
      <c r="T74" s="9">
        <f>IFERROR(tblDisplaySheet[[#This Row],[Process NFR]], "")</f>
        <v>50</v>
      </c>
      <c r="U74" s="9">
        <f>IFERROR(tblDisplaySheet[[#This Row],[Total Process NFR]], "")</f>
        <v>50</v>
      </c>
      <c r="V74" s="8">
        <f>IFERROR(tblDisplaySheet[[#This Row],[Total Process Path Length NFR]], "")</f>
        <v>50</v>
      </c>
      <c r="W74" s="9">
        <f>IFERROR(tblDisplaySheet[[#This Row],[Difference]], "")</f>
        <v>5</v>
      </c>
      <c r="X74" s="9" t="str">
        <f>IFERROR(tblDisplaySheet[[#This Row],[Status]], "")</f>
        <v>On Target</v>
      </c>
      <c r="Y74" s="24" t="str">
        <f>IFERROR(tblDisplaySheet[[#This Row],[Is Leaf?]], "")</f>
        <v>Y</v>
      </c>
      <c r="Z74" s="9" t="str">
        <f>IFERROR(IF(tblInputSheet[[#This Row],[Owner]] = "", "", tblInputSheet[[#This Row],[Owner]]), "")</f>
        <v>Greg</v>
      </c>
      <c r="AA74" s="9" t="str">
        <f>IFERROR(IF(tblInputSheet[[#This Row],[Notes]] = "", "", tblInputSheet[[#This Row],[Notes]]), "")</f>
        <v/>
      </c>
    </row>
    <row r="75" spans="1:27" hidden="1" x14ac:dyDescent="0.25">
      <c r="A75" s="9">
        <f>IFERROR(IF(tblInputSheet[[#This Row],[Level]] = "", "", tblInputSheet[[#This Row],[Level]]), "")</f>
        <v>9</v>
      </c>
      <c r="B75" s="9">
        <f>IFERROR(IF(tblInputSheet[[#This Row],[Sl.No]] = "", "", tblInputSheet[[#This Row],[Sl.No]]), "")</f>
        <v>73</v>
      </c>
      <c r="C75" s="9" t="str">
        <f>IFERROR(IF(tblInputSheet[[#This Row],[Group]] = "", "", tblInputSheet[[#This Row],[Group]]), "")</f>
        <v>Service Level - Accums</v>
      </c>
      <c r="D75" s="9" t="str">
        <f>IFERROR(IF(tblInputSheet[[#This Row],[Process]] = "", "", REPT("*",Demo!$A75)&amp;""&amp;tblInputSheet[[#This Row],[Process]]), "")</f>
        <v>*********Reference Lookup Microservice</v>
      </c>
      <c r="E75" s="9" t="str">
        <f>IFERROR(IF(tblInputSheet[[#This Row],[Hosted Platform]] = "", "", tblInputSheet[[#This Row],[Hosted Platform]]), "")</f>
        <v>PCF</v>
      </c>
      <c r="F75" s="9" t="str">
        <f>IFERROR(IF(tblInputSheet[[#This Row],[Provider]] = "-", "", tblInputSheet[[#This Row],[Provider]]), "")</f>
        <v>Key-Claims Adjudication</v>
      </c>
      <c r="G75" s="9" t="str">
        <f>IFERROR(IF(tblInputSheet[[#This Row],[Consumer]] = "-", "", tblInputSheet[[#This Row],[Consumer]]), "")</f>
        <v>Key-Claims Adjudication</v>
      </c>
      <c r="H75" s="9" t="str">
        <f>IFERROR(IF(tblInputSheet[[#This Row],[Integration Pattern]] = "-", "", tblInputSheet[[#This Row],[Integration Pattern]]), "")</f>
        <v>PCF Internal (C-to-C)</v>
      </c>
      <c r="I75" s="9" t="str">
        <f>IFERROR(IF(tblInputSheet[[#This Row],[Current State]] = "-", "", tblInputSheet[[#This Row],[Current State]]), "")</f>
        <v>Y</v>
      </c>
      <c r="J75" s="9" t="str">
        <f>IFERROR(IF(tblInputSheet[[#This Row],[End State]] = "-", "", tblInputSheet[[#This Row],[End State]]), "")</f>
        <v>Y</v>
      </c>
      <c r="K75" s="9" t="str">
        <f>IFERROR(IF(tblInputSheet[[#This Row],[MVP]] = "-", "", tblInputSheet[[#This Row],[MVP]]), "")</f>
        <v>Y</v>
      </c>
      <c r="L75" s="9">
        <f>IFERROR(IF(tblInputSheet[[#This Row],[Count of Invocations]] = "", "", tblInputSheet[[#This Row],[Count of Invocations]]), "")</f>
        <v>2</v>
      </c>
      <c r="M75" s="19">
        <f>IFERROR(IF(tblInputSheet[[#This Row],[DB Calls (ms)]] = "", "", tblInputSheet[[#This Row],[DB Calls (ms)]]), "")</f>
        <v>1</v>
      </c>
      <c r="N75" s="19">
        <f>IFERROR(IF(tblInputSheet[[#This Row],[Logic (ms)]] = "", "", tblInputSheet[[#This Row],[Logic (ms)]]), "")</f>
        <v>5</v>
      </c>
      <c r="O75" s="19">
        <f>IFERROR(IF(tblInputSheet[[#This Row],[Rules (ms)]] = "", "", tblInputSheet[[#This Row],[Rules (ms)]]), "")</f>
        <v>0</v>
      </c>
      <c r="P75" s="19">
        <f>IFERROR(IF(tblInputSheet[[#This Row],[Latency (ms)]] = "", "", tblInputSheet[[#This Row],[Latency (ms)]]), "")</f>
        <v>5</v>
      </c>
      <c r="Q75" s="9">
        <f>IFERROR(SUM(tblDisplaySheet2[[#This Row],[DB Calls (ms)]:[Latency (ms)]]), "")</f>
        <v>11</v>
      </c>
      <c r="R75" s="9">
        <f>IFERROR(tblDisplaySheet[[#This Row],[Total Process Time]], "")</f>
        <v>22</v>
      </c>
      <c r="S75" s="8">
        <f>IFERROR(tblDisplaySheet[[#This Row],[Total Process Path Length]], "")</f>
        <v>22</v>
      </c>
      <c r="T75" s="9">
        <f>IFERROR(tblDisplaySheet[[#This Row],[Process NFR]], "")</f>
        <v>30</v>
      </c>
      <c r="U75" s="9">
        <f>IFERROR(tblDisplaySheet[[#This Row],[Total Process NFR]], "")</f>
        <v>60</v>
      </c>
      <c r="V75" s="8">
        <f>IFERROR(tblDisplaySheet[[#This Row],[Total Process Path Length NFR]], "")</f>
        <v>60</v>
      </c>
      <c r="W75" s="9">
        <f>IFERROR(tblDisplaySheet[[#This Row],[Difference]], "")</f>
        <v>38</v>
      </c>
      <c r="X75" s="9" t="str">
        <f>IFERROR(tblDisplaySheet[[#This Row],[Status]], "")</f>
        <v>On Target</v>
      </c>
      <c r="Y75" s="24" t="str">
        <f>IFERROR(tblDisplaySheet[[#This Row],[Is Leaf?]], "")</f>
        <v>Y</v>
      </c>
      <c r="Z75" s="9" t="str">
        <f>IFERROR(IF(tblInputSheet[[#This Row],[Owner]] = "", "", tblInputSheet[[#This Row],[Owner]]), "")</f>
        <v>Sankar</v>
      </c>
      <c r="AA75" s="9" t="str">
        <f>IFERROR(IF(tblInputSheet[[#This Row],[Notes]] = "", "", tblInputSheet[[#This Row],[Notes]]), "")</f>
        <v/>
      </c>
    </row>
    <row r="76" spans="1:27" hidden="1" x14ac:dyDescent="0.25">
      <c r="A76" s="9">
        <f>IFERROR(IF(tblInputSheet[[#This Row],[Level]] = "", "", tblInputSheet[[#This Row],[Level]]), "")</f>
        <v>8</v>
      </c>
      <c r="B76" s="9">
        <f>IFERROR(IF(tblInputSheet[[#This Row],[Sl.No]] = "", "", tblInputSheet[[#This Row],[Sl.No]]), "")</f>
        <v>74</v>
      </c>
      <c r="C76" s="9" t="str">
        <f>IFERROR(IF(tblInputSheet[[#This Row],[Group]] = "", "", tblInputSheet[[#This Row],[Group]]), "")</f>
        <v>Service Level - Accums</v>
      </c>
      <c r="D76" s="9" t="str">
        <f>IFERROR(IF(tblInputSheet[[#This Row],[Process]] = "", "", REPT("*",Demo!$A76)&amp;""&amp;tblInputSheet[[#This Row],[Process]]), "")</f>
        <v>********DME Calculation Microservice</v>
      </c>
      <c r="E76" s="9" t="str">
        <f>IFERROR(IF(tblInputSheet[[#This Row],[Hosted Platform]] = "", "", tblInputSheet[[#This Row],[Hosted Platform]]), "")</f>
        <v>PCF</v>
      </c>
      <c r="F76" s="9" t="str">
        <f>IFERROR(IF(tblInputSheet[[#This Row],[Provider]] = "-", "", tblInputSheet[[#This Row],[Provider]]), "")</f>
        <v>Key-Claims Adjudication</v>
      </c>
      <c r="G76" s="9" t="str">
        <f>IFERROR(IF(tblInputSheet[[#This Row],[Consumer]] = "-", "", tblInputSheet[[#This Row],[Consumer]]), "")</f>
        <v>Key-Claims Adjudication</v>
      </c>
      <c r="H76" s="9" t="str">
        <f>IFERROR(IF(tblInputSheet[[#This Row],[Integration Pattern]] = "-", "", tblInputSheet[[#This Row],[Integration Pattern]]), "")</f>
        <v>PCF Internal (C-to-C)</v>
      </c>
      <c r="I76" s="9" t="str">
        <f>IFERROR(IF(tblInputSheet[[#This Row],[Current State]] = "-", "", tblInputSheet[[#This Row],[Current State]]), "")</f>
        <v>Y</v>
      </c>
      <c r="J76" s="9" t="str">
        <f>IFERROR(IF(tblInputSheet[[#This Row],[End State]] = "-", "", tblInputSheet[[#This Row],[End State]]), "")</f>
        <v>Y</v>
      </c>
      <c r="K76" s="9" t="str">
        <f>IFERROR(IF(tblInputSheet[[#This Row],[MVP]] = "-", "", tblInputSheet[[#This Row],[MVP]]), "")</f>
        <v>Y</v>
      </c>
      <c r="L76" s="9">
        <f>IFERROR(IF(tblInputSheet[[#This Row],[Count of Invocations]] = "", "", tblInputSheet[[#This Row],[Count of Invocations]]), "")</f>
        <v>0</v>
      </c>
      <c r="M76" s="19">
        <f>IFERROR(IF(tblInputSheet[[#This Row],[DB Calls (ms)]] = "", "", tblInputSheet[[#This Row],[DB Calls (ms)]]), "")</f>
        <v>5</v>
      </c>
      <c r="N76" s="19">
        <f>IFERROR(IF(tblInputSheet[[#This Row],[Logic (ms)]] = "", "", tblInputSheet[[#This Row],[Logic (ms)]]), "")</f>
        <v>100</v>
      </c>
      <c r="O76" s="19">
        <f>IFERROR(IF(tblInputSheet[[#This Row],[Rules (ms)]] = "", "", tblInputSheet[[#This Row],[Rules (ms)]]), "")</f>
        <v>0</v>
      </c>
      <c r="P76" s="19">
        <f>IFERROR(IF(tblInputSheet[[#This Row],[Latency (ms)]] = "", "", tblInputSheet[[#This Row],[Latency (ms)]]), "")</f>
        <v>5</v>
      </c>
      <c r="Q76" s="9">
        <f>IFERROR(SUM(tblDisplaySheet2[[#This Row],[DB Calls (ms)]:[Latency (ms)]]), "")</f>
        <v>110</v>
      </c>
      <c r="R76" s="9">
        <f>IFERROR(tblDisplaySheet[[#This Row],[Total Process Time]], "")</f>
        <v>0</v>
      </c>
      <c r="S76" s="8">
        <f>IFERROR(tblDisplaySheet[[#This Row],[Total Process Path Length]], "")</f>
        <v>0</v>
      </c>
      <c r="T76" s="9">
        <f>IFERROR(tblDisplaySheet[[#This Row],[Process NFR]], "")</f>
        <v>140</v>
      </c>
      <c r="U76" s="9">
        <f>IFERROR(tblDisplaySheet[[#This Row],[Total Process NFR]], "")</f>
        <v>0</v>
      </c>
      <c r="V76" s="8">
        <f>IFERROR(tblDisplaySheet[[#This Row],[Total Process Path Length NFR]], "")</f>
        <v>0</v>
      </c>
      <c r="W76" s="9">
        <f>IFERROR(tblDisplaySheet[[#This Row],[Difference]], "")</f>
        <v>0</v>
      </c>
      <c r="X76" s="9" t="str">
        <f>IFERROR(tblDisplaySheet[[#This Row],[Status]], "")</f>
        <v>On Target</v>
      </c>
      <c r="Y76" s="24" t="str">
        <f>IFERROR(tblDisplaySheet[[#This Row],[Is Leaf?]], "")</f>
        <v>N</v>
      </c>
      <c r="Z76" s="9" t="str">
        <f>IFERROR(IF(tblInputSheet[[#This Row],[Owner]] = "", "", tblInputSheet[[#This Row],[Owner]]), "")</f>
        <v>Sankar</v>
      </c>
      <c r="AA76" s="9" t="str">
        <f>IFERROR(IF(tblInputSheet[[#This Row],[Notes]] = "", "", tblInputSheet[[#This Row],[Notes]]), "")</f>
        <v>Ignoring DME claims</v>
      </c>
    </row>
    <row r="77" spans="1:27" hidden="1" x14ac:dyDescent="0.25">
      <c r="A77" s="9">
        <f>IFERROR(IF(tblInputSheet[[#This Row],[Level]] = "", "", tblInputSheet[[#This Row],[Level]]), "")</f>
        <v>9</v>
      </c>
      <c r="B77" s="9">
        <f>IFERROR(IF(tblInputSheet[[#This Row],[Sl.No]] = "", "", tblInputSheet[[#This Row],[Sl.No]]), "")</f>
        <v>75</v>
      </c>
      <c r="C77" s="9" t="str">
        <f>IFERROR(IF(tblInputSheet[[#This Row],[Group]] = "", "", tblInputSheet[[#This Row],[Group]]), "")</f>
        <v>Service Level - Accums</v>
      </c>
      <c r="D77" s="9" t="str">
        <f>IFERROR(IF(tblInputSheet[[#This Row],[Process]] = "", "", REPT("*",Demo!$A77)&amp;""&amp;tblInputSheet[[#This Row],[Process]]), "")</f>
        <v>*********Contract API</v>
      </c>
      <c r="E77" s="9" t="str">
        <f>IFERROR(IF(tblInputSheet[[#This Row],[Hosted Platform]] = "", "", tblInputSheet[[#This Row],[Hosted Platform]]), "")</f>
        <v>PCF</v>
      </c>
      <c r="F77" s="9" t="str">
        <f>IFERROR(IF(tblInputSheet[[#This Row],[Provider]] = "-", "", tblInputSheet[[#This Row],[Provider]]), "")</f>
        <v>Key-Claims Adjudication</v>
      </c>
      <c r="G77" s="9" t="str">
        <f>IFERROR(IF(tblInputSheet[[#This Row],[Consumer]] = "-", "", tblInputSheet[[#This Row],[Consumer]]), "")</f>
        <v>Key-Claims Adjudication</v>
      </c>
      <c r="H77" s="9" t="str">
        <f>IFERROR(IF(tblInputSheet[[#This Row],[Integration Pattern]] = "-", "", tblInputSheet[[#This Row],[Integration Pattern]]), "")</f>
        <v>PCF Internal (C-to-C)</v>
      </c>
      <c r="I77" s="9" t="str">
        <f>IFERROR(IF(tblInputSheet[[#This Row],[Current State]] = "-", "", tblInputSheet[[#This Row],[Current State]]), "")</f>
        <v>Y</v>
      </c>
      <c r="J77" s="9" t="str">
        <f>IFERROR(IF(tblInputSheet[[#This Row],[End State]] = "-", "", tblInputSheet[[#This Row],[End State]]), "")</f>
        <v>Y</v>
      </c>
      <c r="K77" s="9" t="str">
        <f>IFERROR(IF(tblInputSheet[[#This Row],[MVP]] = "-", "", tblInputSheet[[#This Row],[MVP]]), "")</f>
        <v>Y</v>
      </c>
      <c r="L77" s="9">
        <f>IFERROR(IF(tblInputSheet[[#This Row],[Count of Invocations]] = "", "", tblInputSheet[[#This Row],[Count of Invocations]]), "")</f>
        <v>0</v>
      </c>
      <c r="M77" s="19">
        <f>IFERROR(IF(tblInputSheet[[#This Row],[DB Calls (ms)]] = "", "", tblInputSheet[[#This Row],[DB Calls (ms)]]), "")</f>
        <v>5</v>
      </c>
      <c r="N77" s="19">
        <f>IFERROR(IF(tblInputSheet[[#This Row],[Logic (ms)]] = "", "", tblInputSheet[[#This Row],[Logic (ms)]]), "")</f>
        <v>30</v>
      </c>
      <c r="O77" s="19">
        <f>IFERROR(IF(tblInputSheet[[#This Row],[Rules (ms)]] = "", "", tblInputSheet[[#This Row],[Rules (ms)]]), "")</f>
        <v>0</v>
      </c>
      <c r="P77" s="19">
        <f>IFERROR(IF(tblInputSheet[[#This Row],[Latency (ms)]] = "", "", tblInputSheet[[#This Row],[Latency (ms)]]), "")</f>
        <v>10</v>
      </c>
      <c r="Q77" s="9">
        <f>IFERROR(SUM(tblDisplaySheet2[[#This Row],[DB Calls (ms)]:[Latency (ms)]]), "")</f>
        <v>45</v>
      </c>
      <c r="R77" s="9">
        <f>IFERROR(tblDisplaySheet[[#This Row],[Total Process Time]], "")</f>
        <v>0</v>
      </c>
      <c r="S77" s="8">
        <f>IFERROR(tblDisplaySheet[[#This Row],[Total Process Path Length]], "")</f>
        <v>0</v>
      </c>
      <c r="T77" s="9">
        <f>IFERROR(tblDisplaySheet[[#This Row],[Process NFR]], "")</f>
        <v>50</v>
      </c>
      <c r="U77" s="9">
        <f>IFERROR(tblDisplaySheet[[#This Row],[Total Process NFR]], "")</f>
        <v>0</v>
      </c>
      <c r="V77" s="8">
        <f>IFERROR(tblDisplaySheet[[#This Row],[Total Process Path Length NFR]], "")</f>
        <v>0</v>
      </c>
      <c r="W77" s="9">
        <f>IFERROR(tblDisplaySheet[[#This Row],[Difference]], "")</f>
        <v>0</v>
      </c>
      <c r="X77" s="9" t="str">
        <f>IFERROR(tblDisplaySheet[[#This Row],[Status]], "")</f>
        <v>On Target</v>
      </c>
      <c r="Y77" s="24" t="str">
        <f>IFERROR(tblDisplaySheet[[#This Row],[Is Leaf?]], "")</f>
        <v>Y</v>
      </c>
      <c r="Z77" s="9" t="str">
        <f>IFERROR(IF(tblInputSheet[[#This Row],[Owner]] = "", "", tblInputSheet[[#This Row],[Owner]]), "")</f>
        <v>Greg</v>
      </c>
      <c r="AA77" s="9" t="str">
        <f>IFERROR(IF(tblInputSheet[[#This Row],[Notes]] = "", "", tblInputSheet[[#This Row],[Notes]]), "")</f>
        <v/>
      </c>
    </row>
    <row r="78" spans="1:27" hidden="1" x14ac:dyDescent="0.25">
      <c r="A78" s="9">
        <f>IFERROR(IF(tblInputSheet[[#This Row],[Level]] = "", "", tblInputSheet[[#This Row],[Level]]), "")</f>
        <v>9</v>
      </c>
      <c r="B78" s="9">
        <f>IFERROR(IF(tblInputSheet[[#This Row],[Sl.No]] = "", "", tblInputSheet[[#This Row],[Sl.No]]), "")</f>
        <v>76</v>
      </c>
      <c r="C78" s="9" t="str">
        <f>IFERROR(IF(tblInputSheet[[#This Row],[Group]] = "", "", tblInputSheet[[#This Row],[Group]]), "")</f>
        <v>Service Level - Accums</v>
      </c>
      <c r="D78" s="9" t="str">
        <f>IFERROR(IF(tblInputSheet[[#This Row],[Process]] = "", "", REPT("*",Demo!$A78)&amp;""&amp;tblInputSheet[[#This Row],[Process]]), "")</f>
        <v>*********Reference Lookup Microservice</v>
      </c>
      <c r="E78" s="9" t="str">
        <f>IFERROR(IF(tblInputSheet[[#This Row],[Hosted Platform]] = "", "", tblInputSheet[[#This Row],[Hosted Platform]]), "")</f>
        <v>PCF</v>
      </c>
      <c r="F78" s="9" t="str">
        <f>IFERROR(IF(tblInputSheet[[#This Row],[Provider]] = "-", "", tblInputSheet[[#This Row],[Provider]]), "")</f>
        <v>Key-Claims Adjudication</v>
      </c>
      <c r="G78" s="9" t="str">
        <f>IFERROR(IF(tblInputSheet[[#This Row],[Consumer]] = "-", "", tblInputSheet[[#This Row],[Consumer]]), "")</f>
        <v>Key-Claims Adjudication</v>
      </c>
      <c r="H78" s="9" t="str">
        <f>IFERROR(IF(tblInputSheet[[#This Row],[Integration Pattern]] = "-", "", tblInputSheet[[#This Row],[Integration Pattern]]), "")</f>
        <v>PCF Internal (C-to-C)</v>
      </c>
      <c r="I78" s="9" t="str">
        <f>IFERROR(IF(tblInputSheet[[#This Row],[Current State]] = "-", "", tblInputSheet[[#This Row],[Current State]]), "")</f>
        <v>Y</v>
      </c>
      <c r="J78" s="9" t="str">
        <f>IFERROR(IF(tblInputSheet[[#This Row],[End State]] = "-", "", tblInputSheet[[#This Row],[End State]]), "")</f>
        <v>Y</v>
      </c>
      <c r="K78" s="9" t="str">
        <f>IFERROR(IF(tblInputSheet[[#This Row],[MVP]] = "-", "", tblInputSheet[[#This Row],[MVP]]), "")</f>
        <v>Y</v>
      </c>
      <c r="L78" s="9">
        <f>IFERROR(IF(tblInputSheet[[#This Row],[Count of Invocations]] = "", "", tblInputSheet[[#This Row],[Count of Invocations]]), "")</f>
        <v>0</v>
      </c>
      <c r="M78" s="19">
        <f>IFERROR(IF(tblInputSheet[[#This Row],[DB Calls (ms)]] = "", "", tblInputSheet[[#This Row],[DB Calls (ms)]]), "")</f>
        <v>1</v>
      </c>
      <c r="N78" s="19">
        <f>IFERROR(IF(tblInputSheet[[#This Row],[Logic (ms)]] = "", "", tblInputSheet[[#This Row],[Logic (ms)]]), "")</f>
        <v>5</v>
      </c>
      <c r="O78" s="19">
        <f>IFERROR(IF(tblInputSheet[[#This Row],[Rules (ms)]] = "", "", tblInputSheet[[#This Row],[Rules (ms)]]), "")</f>
        <v>0</v>
      </c>
      <c r="P78" s="19">
        <f>IFERROR(IF(tblInputSheet[[#This Row],[Latency (ms)]] = "", "", tblInputSheet[[#This Row],[Latency (ms)]]), "")</f>
        <v>5</v>
      </c>
      <c r="Q78" s="9">
        <f>IFERROR(SUM(tblDisplaySheet2[[#This Row],[DB Calls (ms)]:[Latency (ms)]]), "")</f>
        <v>11</v>
      </c>
      <c r="R78" s="9">
        <f>IFERROR(tblDisplaySheet[[#This Row],[Total Process Time]], "")</f>
        <v>0</v>
      </c>
      <c r="S78" s="8">
        <f>IFERROR(tblDisplaySheet[[#This Row],[Total Process Path Length]], "")</f>
        <v>0</v>
      </c>
      <c r="T78" s="9">
        <f>IFERROR(tblDisplaySheet[[#This Row],[Process NFR]], "")</f>
        <v>30</v>
      </c>
      <c r="U78" s="9">
        <f>IFERROR(tblDisplaySheet[[#This Row],[Total Process NFR]], "")</f>
        <v>0</v>
      </c>
      <c r="V78" s="8">
        <f>IFERROR(tblDisplaySheet[[#This Row],[Total Process Path Length NFR]], "")</f>
        <v>0</v>
      </c>
      <c r="W78" s="9">
        <f>IFERROR(tblDisplaySheet[[#This Row],[Difference]], "")</f>
        <v>0</v>
      </c>
      <c r="X78" s="9" t="str">
        <f>IFERROR(tblDisplaySheet[[#This Row],[Status]], "")</f>
        <v>On Target</v>
      </c>
      <c r="Y78" s="24" t="str">
        <f>IFERROR(tblDisplaySheet[[#This Row],[Is Leaf?]], "")</f>
        <v>Y</v>
      </c>
      <c r="Z78" s="9" t="str">
        <f>IFERROR(IF(tblInputSheet[[#This Row],[Owner]] = "", "", tblInputSheet[[#This Row],[Owner]]), "")</f>
        <v>Sankar</v>
      </c>
      <c r="AA78" s="9" t="str">
        <f>IFERROR(IF(tblInputSheet[[#This Row],[Notes]] = "", "", tblInputSheet[[#This Row],[Notes]]), "")</f>
        <v/>
      </c>
    </row>
    <row r="79" spans="1:27" hidden="1" x14ac:dyDescent="0.25">
      <c r="A79" s="9">
        <f>IFERROR(IF(tblInputSheet[[#This Row],[Level]] = "", "", tblInputSheet[[#This Row],[Level]]), "")</f>
        <v>8</v>
      </c>
      <c r="B79" s="9">
        <f>IFERROR(IF(tblInputSheet[[#This Row],[Sl.No]] = "", "", tblInputSheet[[#This Row],[Sl.No]]), "")</f>
        <v>77</v>
      </c>
      <c r="C79" s="9" t="str">
        <f>IFERROR(IF(tblInputSheet[[#This Row],[Group]] = "", "", tblInputSheet[[#This Row],[Group]]), "")</f>
        <v>Service Level - Accums</v>
      </c>
      <c r="D79" s="9" t="str">
        <f>IFERROR(IF(tblInputSheet[[#This Row],[Process]] = "", "", REPT("*",Demo!$A79)&amp;""&amp;tblInputSheet[[#This Row],[Process]]), "")</f>
        <v>********Accums Utilization Inquiry Microservice</v>
      </c>
      <c r="E79" s="9" t="str">
        <f>IFERROR(IF(tblInputSheet[[#This Row],[Hosted Platform]] = "", "", tblInputSheet[[#This Row],[Hosted Platform]]), "")</f>
        <v>PCF</v>
      </c>
      <c r="F79" s="9" t="str">
        <f>IFERROR(IF(tblInputSheet[[#This Row],[Provider]] = "-", "", tblInputSheet[[#This Row],[Provider]]), "")</f>
        <v>Key-Claims Adjudication</v>
      </c>
      <c r="G79" s="9" t="str">
        <f>IFERROR(IF(tblInputSheet[[#This Row],[Consumer]] = "-", "", tblInputSheet[[#This Row],[Consumer]]), "")</f>
        <v>Key-Claims Adjudication</v>
      </c>
      <c r="H79" s="9" t="str">
        <f>IFERROR(IF(tblInputSheet[[#This Row],[Integration Pattern]] = "-", "", tblInputSheet[[#This Row],[Integration Pattern]]), "")</f>
        <v>PCF Internal (C-to-C)</v>
      </c>
      <c r="I79" s="9" t="str">
        <f>IFERROR(IF(tblInputSheet[[#This Row],[Current State]] = "-", "", tblInputSheet[[#This Row],[Current State]]), "")</f>
        <v>Y</v>
      </c>
      <c r="J79" s="9" t="str">
        <f>IFERROR(IF(tblInputSheet[[#This Row],[End State]] = "-", "", tblInputSheet[[#This Row],[End State]]), "")</f>
        <v>Y</v>
      </c>
      <c r="K79" s="9" t="str">
        <f>IFERROR(IF(tblInputSheet[[#This Row],[MVP]] = "-", "", tblInputSheet[[#This Row],[MVP]]), "")</f>
        <v>Y</v>
      </c>
      <c r="L79" s="9">
        <f>IFERROR(IF(tblInputSheet[[#This Row],[Count of Invocations]] = "", "", tblInputSheet[[#This Row],[Count of Invocations]]), "")</f>
        <v>1</v>
      </c>
      <c r="M79" s="19">
        <f>IFERROR(IF(tblInputSheet[[#This Row],[DB Calls (ms)]] = "", "", tblInputSheet[[#This Row],[DB Calls (ms)]]), "")</f>
        <v>5</v>
      </c>
      <c r="N79" s="19">
        <f>IFERROR(IF(tblInputSheet[[#This Row],[Logic (ms)]] = "", "", tblInputSheet[[#This Row],[Logic (ms)]]), "")</f>
        <v>30</v>
      </c>
      <c r="O79" s="19">
        <f>IFERROR(IF(tblInputSheet[[#This Row],[Rules (ms)]] = "", "", tblInputSheet[[#This Row],[Rules (ms)]]), "")</f>
        <v>0</v>
      </c>
      <c r="P79" s="19">
        <f>IFERROR(IF(tblInputSheet[[#This Row],[Latency (ms)]] = "", "", tblInputSheet[[#This Row],[Latency (ms)]]), "")</f>
        <v>5</v>
      </c>
      <c r="Q79" s="9">
        <f>IFERROR(SUM(tblDisplaySheet2[[#This Row],[DB Calls (ms)]:[Latency (ms)]]), "")</f>
        <v>40</v>
      </c>
      <c r="R79" s="9">
        <f>IFERROR(tblDisplaySheet[[#This Row],[Total Process Time]], "")</f>
        <v>40</v>
      </c>
      <c r="S79" s="8">
        <f>IFERROR(tblDisplaySheet[[#This Row],[Total Process Path Length]], "")</f>
        <v>40</v>
      </c>
      <c r="T79" s="9">
        <f>IFERROR(tblDisplaySheet[[#This Row],[Process NFR]], "")</f>
        <v>50</v>
      </c>
      <c r="U79" s="9">
        <f>IFERROR(tblDisplaySheet[[#This Row],[Total Process NFR]], "")</f>
        <v>50</v>
      </c>
      <c r="V79" s="8">
        <f>IFERROR(tblDisplaySheet[[#This Row],[Total Process Path Length NFR]], "")</f>
        <v>50</v>
      </c>
      <c r="W79" s="9">
        <f>IFERROR(tblDisplaySheet[[#This Row],[Difference]], "")</f>
        <v>10</v>
      </c>
      <c r="X79" s="9" t="str">
        <f>IFERROR(tblDisplaySheet[[#This Row],[Status]], "")</f>
        <v>On Target</v>
      </c>
      <c r="Y79" s="24" t="str">
        <f>IFERROR(tblDisplaySheet[[#This Row],[Is Leaf?]], "")</f>
        <v>Y</v>
      </c>
      <c r="Z79" s="9" t="str">
        <f>IFERROR(IF(tblInputSheet[[#This Row],[Owner]] = "", "", tblInputSheet[[#This Row],[Owner]]), "")</f>
        <v>Sankar</v>
      </c>
      <c r="AA79" s="9" t="str">
        <f>IFERROR(IF(tblInputSheet[[#This Row],[Notes]] = "", "", tblInputSheet[[#This Row],[Notes]]), "")</f>
        <v/>
      </c>
    </row>
    <row r="80" spans="1:27" hidden="1" x14ac:dyDescent="0.25">
      <c r="A80" s="9">
        <f>IFERROR(IF(tblInputSheet[[#This Row],[Level]] = "", "", tblInputSheet[[#This Row],[Level]]), "")</f>
        <v>8</v>
      </c>
      <c r="B80" s="9">
        <f>IFERROR(IF(tblInputSheet[[#This Row],[Sl.No]] = "", "", tblInputSheet[[#This Row],[Sl.No]]), "")</f>
        <v>78</v>
      </c>
      <c r="C80" s="9" t="str">
        <f>IFERROR(IF(tblInputSheet[[#This Row],[Group]] = "", "", tblInputSheet[[#This Row],[Group]]), "")</f>
        <v>Service Level - Accums</v>
      </c>
      <c r="D80" s="9" t="str">
        <f>IFERROR(IF(tblInputSheet[[#This Row],[Process]] = "", "", REPT("*",Demo!$A80)&amp;""&amp;tblInputSheet[[#This Row],[Process]]), "")</f>
        <v>********Accums Utilization Microservice</v>
      </c>
      <c r="E80" s="9" t="str">
        <f>IFERROR(IF(tblInputSheet[[#This Row],[Hosted Platform]] = "", "", tblInputSheet[[#This Row],[Hosted Platform]]), "")</f>
        <v>PCF</v>
      </c>
      <c r="F80" s="9" t="str">
        <f>IFERROR(IF(tblInputSheet[[#This Row],[Provider]] = "-", "", tblInputSheet[[#This Row],[Provider]]), "")</f>
        <v>Key-Claims Adjudication</v>
      </c>
      <c r="G80" s="9" t="str">
        <f>IFERROR(IF(tblInputSheet[[#This Row],[Consumer]] = "-", "", tblInputSheet[[#This Row],[Consumer]]), "")</f>
        <v>Key-Claims Adjudication</v>
      </c>
      <c r="H80" s="9" t="str">
        <f>IFERROR(IF(tblInputSheet[[#This Row],[Integration Pattern]] = "-", "", tblInputSheet[[#This Row],[Integration Pattern]]), "")</f>
        <v>PCF Internal (C-to-C)</v>
      </c>
      <c r="I80" s="9" t="str">
        <f>IFERROR(IF(tblInputSheet[[#This Row],[Current State]] = "-", "", tblInputSheet[[#This Row],[Current State]]), "")</f>
        <v>Y</v>
      </c>
      <c r="J80" s="9" t="str">
        <f>IFERROR(IF(tblInputSheet[[#This Row],[End State]] = "-", "", tblInputSheet[[#This Row],[End State]]), "")</f>
        <v>Y</v>
      </c>
      <c r="K80" s="9" t="str">
        <f>IFERROR(IF(tblInputSheet[[#This Row],[MVP]] = "-", "", tblInputSheet[[#This Row],[MVP]]), "")</f>
        <v>Y</v>
      </c>
      <c r="L80" s="9">
        <f>IFERROR(IF(tblInputSheet[[#This Row],[Count of Invocations]] = "", "", tblInputSheet[[#This Row],[Count of Invocations]]), "")</f>
        <v>1</v>
      </c>
      <c r="M80" s="19">
        <f>IFERROR(IF(tblInputSheet[[#This Row],[DB Calls (ms)]] = "", "", tblInputSheet[[#This Row],[DB Calls (ms)]]), "")</f>
        <v>5</v>
      </c>
      <c r="N80" s="19">
        <f>IFERROR(IF(tblInputSheet[[#This Row],[Logic (ms)]] = "", "", tblInputSheet[[#This Row],[Logic (ms)]]), "")</f>
        <v>30</v>
      </c>
      <c r="O80" s="19">
        <f>IFERROR(IF(tblInputSheet[[#This Row],[Rules (ms)]] = "", "", tblInputSheet[[#This Row],[Rules (ms)]]), "")</f>
        <v>0</v>
      </c>
      <c r="P80" s="19">
        <f>IFERROR(IF(tblInputSheet[[#This Row],[Latency (ms)]] = "", "", tblInputSheet[[#This Row],[Latency (ms)]]), "")</f>
        <v>5</v>
      </c>
      <c r="Q80" s="9">
        <f>IFERROR(SUM(tblDisplaySheet2[[#This Row],[DB Calls (ms)]:[Latency (ms)]]), "")</f>
        <v>40</v>
      </c>
      <c r="R80" s="9">
        <f>IFERROR(tblDisplaySheet[[#This Row],[Total Process Time]], "")</f>
        <v>40</v>
      </c>
      <c r="S80" s="8">
        <f>IFERROR(tblDisplaySheet[[#This Row],[Total Process Path Length]], "")</f>
        <v>40</v>
      </c>
      <c r="T80" s="9">
        <f>IFERROR(tblDisplaySheet[[#This Row],[Process NFR]], "")</f>
        <v>50</v>
      </c>
      <c r="U80" s="9">
        <f>IFERROR(tblDisplaySheet[[#This Row],[Total Process NFR]], "")</f>
        <v>50</v>
      </c>
      <c r="V80" s="8">
        <f>IFERROR(tblDisplaySheet[[#This Row],[Total Process Path Length NFR]], "")</f>
        <v>50</v>
      </c>
      <c r="W80" s="9">
        <f>IFERROR(tblDisplaySheet[[#This Row],[Difference]], "")</f>
        <v>10</v>
      </c>
      <c r="X80" s="9" t="str">
        <f>IFERROR(tblDisplaySheet[[#This Row],[Status]], "")</f>
        <v>On Target</v>
      </c>
      <c r="Y80" s="24" t="str">
        <f>IFERROR(tblDisplaySheet[[#This Row],[Is Leaf?]], "")</f>
        <v>Y</v>
      </c>
      <c r="Z80" s="9" t="str">
        <f>IFERROR(IF(tblInputSheet[[#This Row],[Owner]] = "", "", tblInputSheet[[#This Row],[Owner]]), "")</f>
        <v>Sankar</v>
      </c>
      <c r="AA80" s="9" t="str">
        <f>IFERROR(IF(tblInputSheet[[#This Row],[Notes]] = "", "", tblInputSheet[[#This Row],[Notes]]), "")</f>
        <v/>
      </c>
    </row>
    <row r="81" spans="1:27" hidden="1" x14ac:dyDescent="0.25">
      <c r="A81" s="9">
        <f>IFERROR(IF(tblInputSheet[[#This Row],[Level]] = "", "", tblInputSheet[[#This Row],[Level]]), "")</f>
        <v>8</v>
      </c>
      <c r="B81" s="9">
        <f>IFERROR(IF(tblInputSheet[[#This Row],[Sl.No]] = "", "", tblInputSheet[[#This Row],[Sl.No]]), "")</f>
        <v>79</v>
      </c>
      <c r="C81" s="9" t="str">
        <f>IFERROR(IF(tblInputSheet[[#This Row],[Group]] = "", "", tblInputSheet[[#This Row],[Group]]), "")</f>
        <v>Service Level - Accums</v>
      </c>
      <c r="D81" s="9" t="str">
        <f>IFERROR(IF(tblInputSheet[[#This Row],[Process]] = "", "", REPT("*",Demo!$A81)&amp;""&amp;tblInputSheet[[#This Row],[Process]]), "")</f>
        <v>********Accums ID Lookup Service</v>
      </c>
      <c r="E81" s="9" t="str">
        <f>IFERROR(IF(tblInputSheet[[#This Row],[Hosted Platform]] = "", "", tblInputSheet[[#This Row],[Hosted Platform]]), "")</f>
        <v>PCF</v>
      </c>
      <c r="F81" s="9" t="str">
        <f>IFERROR(IF(tblInputSheet[[#This Row],[Provider]] = "-", "", tblInputSheet[[#This Row],[Provider]]), "")</f>
        <v>Key-Claims Adjudication</v>
      </c>
      <c r="G81" s="9" t="str">
        <f>IFERROR(IF(tblInputSheet[[#This Row],[Consumer]] = "-", "", tblInputSheet[[#This Row],[Consumer]]), "")</f>
        <v>Key-Claims Adjudication</v>
      </c>
      <c r="H81" s="9" t="str">
        <f>IFERROR(IF(tblInputSheet[[#This Row],[Integration Pattern]] = "-", "", tblInputSheet[[#This Row],[Integration Pattern]]), "")</f>
        <v>PCF Internal (C-to-C)</v>
      </c>
      <c r="I81" s="9" t="str">
        <f>IFERROR(IF(tblInputSheet[[#This Row],[Current State]] = "-", "", tblInputSheet[[#This Row],[Current State]]), "")</f>
        <v>Y</v>
      </c>
      <c r="J81" s="9" t="str">
        <f>IFERROR(IF(tblInputSheet[[#This Row],[End State]] = "-", "", tblInputSheet[[#This Row],[End State]]), "")</f>
        <v>Y</v>
      </c>
      <c r="K81" s="9" t="str">
        <f>IFERROR(IF(tblInputSheet[[#This Row],[MVP]] = "-", "", tblInputSheet[[#This Row],[MVP]]), "")</f>
        <v>Y</v>
      </c>
      <c r="L81" s="9">
        <f>IFERROR(IF(tblInputSheet[[#This Row],[Count of Invocations]] = "", "", tblInputSheet[[#This Row],[Count of Invocations]]), "")</f>
        <v>1</v>
      </c>
      <c r="M81" s="19">
        <f>IFERROR(IF(tblInputSheet[[#This Row],[DB Calls (ms)]] = "", "", tblInputSheet[[#This Row],[DB Calls (ms)]]), "")</f>
        <v>5</v>
      </c>
      <c r="N81" s="19">
        <f>IFERROR(IF(tblInputSheet[[#This Row],[Logic (ms)]] = "", "", tblInputSheet[[#This Row],[Logic (ms)]]), "")</f>
        <v>30</v>
      </c>
      <c r="O81" s="19">
        <f>IFERROR(IF(tblInputSheet[[#This Row],[Rules (ms)]] = "", "", tblInputSheet[[#This Row],[Rules (ms)]]), "")</f>
        <v>0</v>
      </c>
      <c r="P81" s="19">
        <f>IFERROR(IF(tblInputSheet[[#This Row],[Latency (ms)]] = "", "", tblInputSheet[[#This Row],[Latency (ms)]]), "")</f>
        <v>5</v>
      </c>
      <c r="Q81" s="9">
        <f>IFERROR(SUM(tblDisplaySheet2[[#This Row],[DB Calls (ms)]:[Latency (ms)]]), "")</f>
        <v>40</v>
      </c>
      <c r="R81" s="9">
        <f>IFERROR(tblDisplaySheet[[#This Row],[Total Process Time]], "")</f>
        <v>40</v>
      </c>
      <c r="S81" s="8">
        <f>IFERROR(tblDisplaySheet[[#This Row],[Total Process Path Length]], "")</f>
        <v>40</v>
      </c>
      <c r="T81" s="9">
        <f>IFERROR(tblDisplaySheet[[#This Row],[Process NFR]], "")</f>
        <v>50</v>
      </c>
      <c r="U81" s="9">
        <f>IFERROR(tblDisplaySheet[[#This Row],[Total Process NFR]], "")</f>
        <v>50</v>
      </c>
      <c r="V81" s="8">
        <f>IFERROR(tblDisplaySheet[[#This Row],[Total Process Path Length NFR]], "")</f>
        <v>50</v>
      </c>
      <c r="W81" s="9">
        <f>IFERROR(tblDisplaySheet[[#This Row],[Difference]], "")</f>
        <v>10</v>
      </c>
      <c r="X81" s="9" t="str">
        <f>IFERROR(tblDisplaySheet[[#This Row],[Status]], "")</f>
        <v>On Target</v>
      </c>
      <c r="Y81" s="24" t="str">
        <f>IFERROR(tblDisplaySheet[[#This Row],[Is Leaf?]], "")</f>
        <v>Y</v>
      </c>
      <c r="Z81" s="9" t="str">
        <f>IFERROR(IF(tblInputSheet[[#This Row],[Owner]] = "", "", tblInputSheet[[#This Row],[Owner]]), "")</f>
        <v>Sankar</v>
      </c>
      <c r="AA81" s="9" t="str">
        <f>IFERROR(IF(tblInputSheet[[#This Row],[Notes]] = "", "", tblInputSheet[[#This Row],[Notes]]), "")</f>
        <v/>
      </c>
    </row>
    <row r="82" spans="1:27" hidden="1" x14ac:dyDescent="0.25">
      <c r="A82" s="9">
        <f>IFERROR(IF(tblInputSheet[[#This Row],[Level]] = "", "", tblInputSheet[[#This Row],[Level]]), "")</f>
        <v>8</v>
      </c>
      <c r="B82" s="9">
        <f>IFERROR(IF(tblInputSheet[[#This Row],[Sl.No]] = "", "", tblInputSheet[[#This Row],[Sl.No]]), "")</f>
        <v>80</v>
      </c>
      <c r="C82" s="9" t="str">
        <f>IFERROR(IF(tblInputSheet[[#This Row],[Group]] = "", "", tblInputSheet[[#This Row],[Group]]), "")</f>
        <v>Service Level - Accums</v>
      </c>
      <c r="D82" s="9" t="str">
        <f>IFERROR(IF(tblInputSheet[[#This Row],[Process]] = "", "", REPT("*",Demo!$A82)&amp;""&amp;tblInputSheet[[#This Row],[Process]]), "")</f>
        <v>********DME Event Validation Lookup Service</v>
      </c>
      <c r="E82" s="9" t="str">
        <f>IFERROR(IF(tblInputSheet[[#This Row],[Hosted Platform]] = "", "", tblInputSheet[[#This Row],[Hosted Platform]]), "")</f>
        <v>PCF</v>
      </c>
      <c r="F82" s="9" t="str">
        <f>IFERROR(IF(tblInputSheet[[#This Row],[Provider]] = "-", "", tblInputSheet[[#This Row],[Provider]]), "")</f>
        <v>Key-Claims Adjudication</v>
      </c>
      <c r="G82" s="9" t="str">
        <f>IFERROR(IF(tblInputSheet[[#This Row],[Consumer]] = "-", "", tblInputSheet[[#This Row],[Consumer]]), "")</f>
        <v>Key-Claims Adjudication</v>
      </c>
      <c r="H82" s="9" t="str">
        <f>IFERROR(IF(tblInputSheet[[#This Row],[Integration Pattern]] = "-", "", tblInputSheet[[#This Row],[Integration Pattern]]), "")</f>
        <v>PCF Internal (C-to-C)</v>
      </c>
      <c r="I82" s="9" t="str">
        <f>IFERROR(IF(tblInputSheet[[#This Row],[Current State]] = "-", "", tblInputSheet[[#This Row],[Current State]]), "")</f>
        <v>Y</v>
      </c>
      <c r="J82" s="9" t="str">
        <f>IFERROR(IF(tblInputSheet[[#This Row],[End State]] = "-", "", tblInputSheet[[#This Row],[End State]]), "")</f>
        <v>Y</v>
      </c>
      <c r="K82" s="9" t="str">
        <f>IFERROR(IF(tblInputSheet[[#This Row],[MVP]] = "-", "", tblInputSheet[[#This Row],[MVP]]), "")</f>
        <v>Y</v>
      </c>
      <c r="L82" s="9">
        <f>IFERROR(IF(tblInputSheet[[#This Row],[Count of Invocations]] = "", "", tblInputSheet[[#This Row],[Count of Invocations]]), "")</f>
        <v>0</v>
      </c>
      <c r="M82" s="19">
        <f>IFERROR(IF(tblInputSheet[[#This Row],[DB Calls (ms)]] = "", "", tblInputSheet[[#This Row],[DB Calls (ms)]]), "")</f>
        <v>5</v>
      </c>
      <c r="N82" s="19">
        <f>IFERROR(IF(tblInputSheet[[#This Row],[Logic (ms)]] = "", "", tblInputSheet[[#This Row],[Logic (ms)]]), "")</f>
        <v>30</v>
      </c>
      <c r="O82" s="19">
        <f>IFERROR(IF(tblInputSheet[[#This Row],[Rules (ms)]] = "", "", tblInputSheet[[#This Row],[Rules (ms)]]), "")</f>
        <v>0</v>
      </c>
      <c r="P82" s="19">
        <f>IFERROR(IF(tblInputSheet[[#This Row],[Latency (ms)]] = "", "", tblInputSheet[[#This Row],[Latency (ms)]]), "")</f>
        <v>5</v>
      </c>
      <c r="Q82" s="9">
        <f>IFERROR(SUM(tblDisplaySheet2[[#This Row],[DB Calls (ms)]:[Latency (ms)]]), "")</f>
        <v>40</v>
      </c>
      <c r="R82" s="9">
        <f>IFERROR(tblDisplaySheet[[#This Row],[Total Process Time]], "")</f>
        <v>0</v>
      </c>
      <c r="S82" s="9">
        <f>IFERROR(tblDisplaySheet[[#This Row],[Total Process Path Length]], "")</f>
        <v>0</v>
      </c>
      <c r="T82" s="9">
        <f>IFERROR(tblDisplaySheet[[#This Row],[Process NFR]], "")</f>
        <v>50</v>
      </c>
      <c r="U82" s="9">
        <f>IFERROR(tblDisplaySheet[[#This Row],[Total Process NFR]], "")</f>
        <v>0</v>
      </c>
      <c r="V82" s="9">
        <f>IFERROR(tblDisplaySheet[[#This Row],[Total Process Path Length NFR]], "")</f>
        <v>0</v>
      </c>
      <c r="W82" s="9">
        <f>IFERROR(tblDisplaySheet[[#This Row],[Difference]], "")</f>
        <v>0</v>
      </c>
      <c r="X82" s="9" t="str">
        <f>IFERROR(tblDisplaySheet[[#This Row],[Status]], "")</f>
        <v>On Target</v>
      </c>
      <c r="Y82" s="24" t="str">
        <f>IFERROR(tblDisplaySheet[[#This Row],[Is Leaf?]], "")</f>
        <v>Y</v>
      </c>
      <c r="Z82" s="9" t="str">
        <f>IFERROR(IF(tblInputSheet[[#This Row],[Owner]] = "", "", tblInputSheet[[#This Row],[Owner]]), "")</f>
        <v>Sankar</v>
      </c>
      <c r="AA82" s="9" t="str">
        <f>IFERROR(IF(tblInputSheet[[#This Row],[Notes]] = "", "", tblInputSheet[[#This Row],[Notes]]), "")</f>
        <v/>
      </c>
    </row>
    <row r="83" spans="1:27" x14ac:dyDescent="0.25">
      <c r="A83" s="9">
        <f>IFERROR(IF(tblInputSheet[[#This Row],[Level]] = "", "", tblInputSheet[[#This Row],[Level]]), "")</f>
        <v>4</v>
      </c>
      <c r="B83" s="9">
        <f>IFERROR(IF(tblInputSheet[[#This Row],[Sl.No]] = "", "", tblInputSheet[[#This Row],[Sl.No]]), "")</f>
        <v>81</v>
      </c>
      <c r="C83" s="9" t="str">
        <f>IFERROR(IF(tblInputSheet[[#This Row],[Group]] = "", "", tblInputSheet[[#This Row],[Group]]), "")</f>
        <v>Service Level</v>
      </c>
      <c r="D83" s="9" t="str">
        <f>IFERROR(IF(tblInputSheet[[#This Row],[Process]] = "", "", REPT("*",Demo!$A83)&amp;""&amp;tblInputSheet[[#This Row],[Process]]), "")</f>
        <v>****Post TPL</v>
      </c>
      <c r="E83" s="9" t="str">
        <f>IFERROR(IF(tblInputSheet[[#This Row],[Hosted Platform]] = "", "", tblInputSheet[[#This Row],[Hosted Platform]]), "")</f>
        <v>Legacy BC</v>
      </c>
      <c r="F83" s="9" t="str">
        <f>IFERROR(IF(tblInputSheet[[#This Row],[Provider]] = "-", "", tblInputSheet[[#This Row],[Provider]]), "")</f>
        <v>Claims-Legacy</v>
      </c>
      <c r="G83" s="9" t="str">
        <f>IFERROR(IF(tblInputSheet[[#This Row],[Consumer]] = "-", "", tblInputSheet[[#This Row],[Consumer]]), "")</f>
        <v>Claims-Legacy</v>
      </c>
      <c r="H83" s="9" t="str">
        <f>IFERROR(IF(tblInputSheet[[#This Row],[Integration Pattern]] = "-", "", tblInputSheet[[#This Row],[Integration Pattern]]), "")</f>
        <v>BC Internal</v>
      </c>
      <c r="I83" s="9" t="str">
        <f>IFERROR(IF(tblInputSheet[[#This Row],[Current State]] = "-", "", tblInputSheet[[#This Row],[Current State]]), "")</f>
        <v>Y</v>
      </c>
      <c r="J83" s="9" t="str">
        <f>IFERROR(IF(tblInputSheet[[#This Row],[End State]] = "-", "", tblInputSheet[[#This Row],[End State]]), "")</f>
        <v>N</v>
      </c>
      <c r="K83" s="9" t="str">
        <f>IFERROR(IF(tblInputSheet[[#This Row],[MVP]] = "-", "", tblInputSheet[[#This Row],[MVP]]), "")</f>
        <v>N</v>
      </c>
      <c r="L83" s="9">
        <f>IFERROR(IF(tblInputSheet[[#This Row],[Count of Invocations]] = "", "", tblInputSheet[[#This Row],[Count of Invocations]]), "")</f>
        <v>1</v>
      </c>
      <c r="M83" s="19">
        <f>IFERROR(IF(tblInputSheet[[#This Row],[DB Calls (ms)]] = "", "", tblInputSheet[[#This Row],[DB Calls (ms)]]), "")</f>
        <v>0</v>
      </c>
      <c r="N83" s="19">
        <f>IFERROR(IF(tblInputSheet[[#This Row],[Logic (ms)]] = "", "", tblInputSheet[[#This Row],[Logic (ms)]]), "")</f>
        <v>50</v>
      </c>
      <c r="O83" s="19">
        <f>IFERROR(IF(tblInputSheet[[#This Row],[Rules (ms)]] = "", "", tblInputSheet[[#This Row],[Rules (ms)]]), "")</f>
        <v>0</v>
      </c>
      <c r="P83" s="19">
        <f>IFERROR(IF(tblInputSheet[[#This Row],[Latency (ms)]] = "", "", tblInputSheet[[#This Row],[Latency (ms)]]), "")</f>
        <v>0</v>
      </c>
      <c r="Q83" s="9">
        <f>IFERROR(SUM(tblDisplaySheet2[[#This Row],[DB Calls (ms)]:[Latency (ms)]]), "")</f>
        <v>50</v>
      </c>
      <c r="R83" s="9">
        <f>IFERROR(tblDisplaySheet[[#This Row],[Total Process Time]], "")</f>
        <v>50</v>
      </c>
      <c r="S83" s="9">
        <f>IFERROR(tblDisplaySheet[[#This Row],[Total Process Path Length]], "")</f>
        <v>50</v>
      </c>
      <c r="T83" s="9">
        <f>IFERROR(tblDisplaySheet[[#This Row],[Process NFR]], "")</f>
        <v>50</v>
      </c>
      <c r="U83" s="9">
        <f>IFERROR(tblDisplaySheet[[#This Row],[Total Process NFR]], "")</f>
        <v>50</v>
      </c>
      <c r="V83" s="9">
        <f>IFERROR(tblDisplaySheet[[#This Row],[Total Process Path Length NFR]], "")</f>
        <v>50</v>
      </c>
      <c r="W83" s="9">
        <f>IFERROR(tblDisplaySheet[[#This Row],[Difference]], "")</f>
        <v>0</v>
      </c>
      <c r="X83" s="9" t="str">
        <f>IFERROR(tblDisplaySheet[[#This Row],[Status]], "")</f>
        <v>On Target</v>
      </c>
      <c r="Y83" s="24" t="str">
        <f>IFERROR(tblDisplaySheet[[#This Row],[Is Leaf?]], "")</f>
        <v>Y</v>
      </c>
      <c r="Z83" s="9" t="str">
        <f>IFERROR(IF(tblInputSheet[[#This Row],[Owner]] = "", "", tblInputSheet[[#This Row],[Owner]]), "")</f>
        <v>Alak</v>
      </c>
      <c r="AA83" s="9" t="str">
        <f>IFERROR(IF(tblInputSheet[[#This Row],[Notes]] = "", "", tblInputSheet[[#This Row],[Notes]]), "")</f>
        <v/>
      </c>
    </row>
    <row r="84" spans="1:27" x14ac:dyDescent="0.25">
      <c r="A84" s="9">
        <f>IFERROR(IF(tblInputSheet[[#This Row],[Level]] = "", "", tblInputSheet[[#This Row],[Level]]), "")</f>
        <v>2</v>
      </c>
      <c r="B84" s="9">
        <f>IFERROR(IF(tblInputSheet[[#This Row],[Sl.No]] = "", "", tblInputSheet[[#This Row],[Sl.No]]), "")</f>
        <v>82</v>
      </c>
      <c r="C84" s="9" t="str">
        <f>IFERROR(IF(tblInputSheet[[#This Row],[Group]] = "", "", tblInputSheet[[#This Row],[Group]]), "")</f>
        <v>Claim Release</v>
      </c>
      <c r="D84" s="9" t="str">
        <f>IFERROR(IF(tblInputSheet[[#This Row],[Process]] = "", "", REPT("*",Demo!$A84)&amp;""&amp;tblInputSheet[[#This Row],[Process]]), "")</f>
        <v>**Claim Release</v>
      </c>
      <c r="E84" s="9" t="str">
        <f>IFERROR(IF(tblInputSheet[[#This Row],[Hosted Platform]] = "", "", tblInputSheet[[#This Row],[Hosted Platform]]), "")</f>
        <v>Business Process</v>
      </c>
      <c r="F84" s="9" t="str">
        <f>IFERROR(IF(tblInputSheet[[#This Row],[Provider]] = "-", "", tblInputSheet[[#This Row],[Provider]]), "")</f>
        <v>NA</v>
      </c>
      <c r="G84" s="9" t="str">
        <f>IFERROR(IF(tblInputSheet[[#This Row],[Consumer]] = "-", "", tblInputSheet[[#This Row],[Consumer]]), "")</f>
        <v>NA</v>
      </c>
      <c r="H84" s="9" t="str">
        <f>IFERROR(IF(tblInputSheet[[#This Row],[Integration Pattern]] = "-", "", tblInputSheet[[#This Row],[Integration Pattern]]), "")</f>
        <v>Group</v>
      </c>
      <c r="I84" s="9" t="str">
        <f>IFERROR(IF(tblInputSheet[[#This Row],[Current State]] = "-", "", tblInputSheet[[#This Row],[Current State]]), "")</f>
        <v>Y</v>
      </c>
      <c r="J84" s="9" t="str">
        <f>IFERROR(IF(tblInputSheet[[#This Row],[End State]] = "-", "", tblInputSheet[[#This Row],[End State]]), "")</f>
        <v>N</v>
      </c>
      <c r="K84" s="9" t="str">
        <f>IFERROR(IF(tblInputSheet[[#This Row],[MVP]] = "-", "", tblInputSheet[[#This Row],[MVP]]), "")</f>
        <v>N</v>
      </c>
      <c r="L84" s="9">
        <f>IFERROR(IF(tblInputSheet[[#This Row],[Count of Invocations]] = "", "", tblInputSheet[[#This Row],[Count of Invocations]]), "")</f>
        <v>0</v>
      </c>
      <c r="M84" s="19">
        <f>IFERROR(IF(tblInputSheet[[#This Row],[DB Calls (ms)]] = "", "", tblInputSheet[[#This Row],[DB Calls (ms)]]), "")</f>
        <v>0</v>
      </c>
      <c r="N84" s="19">
        <f>IFERROR(IF(tblInputSheet[[#This Row],[Logic (ms)]] = "", "", tblInputSheet[[#This Row],[Logic (ms)]]), "")</f>
        <v>0</v>
      </c>
      <c r="O84" s="19">
        <f>IFERROR(IF(tblInputSheet[[#This Row],[Rules (ms)]] = "", "", tblInputSheet[[#This Row],[Rules (ms)]]), "")</f>
        <v>0</v>
      </c>
      <c r="P84" s="19">
        <f>IFERROR(IF(tblInputSheet[[#This Row],[Latency (ms)]] = "", "", tblInputSheet[[#This Row],[Latency (ms)]]), "")</f>
        <v>0</v>
      </c>
      <c r="Q84" s="9">
        <f>IFERROR(SUM(tblDisplaySheet2[[#This Row],[DB Calls (ms)]:[Latency (ms)]]), "")</f>
        <v>0</v>
      </c>
      <c r="R84" s="9">
        <f>IFERROR(tblDisplaySheet[[#This Row],[Total Process Time]], "")</f>
        <v>0</v>
      </c>
      <c r="S84" s="9">
        <f>IFERROR(tblDisplaySheet[[#This Row],[Total Process Path Length]], "")</f>
        <v>200</v>
      </c>
      <c r="T84" s="9">
        <f>IFERROR(tblDisplaySheet[[#This Row],[Process NFR]], "")</f>
        <v>0</v>
      </c>
      <c r="U84" s="9">
        <f>IFERROR(tblDisplaySheet[[#This Row],[Total Process NFR]], "")</f>
        <v>0</v>
      </c>
      <c r="V84" s="9">
        <f>IFERROR(tblDisplaySheet[[#This Row],[Total Process Path Length NFR]], "")</f>
        <v>200</v>
      </c>
      <c r="W84" s="9">
        <f>IFERROR(tblDisplaySheet[[#This Row],[Difference]], "")</f>
        <v>0</v>
      </c>
      <c r="X84" s="9" t="str">
        <f>IFERROR(tblDisplaySheet[[#This Row],[Status]], "")</f>
        <v>On Target</v>
      </c>
      <c r="Y84" s="24" t="str">
        <f>IFERROR(tblDisplaySheet[[#This Row],[Is Leaf?]], "")</f>
        <v>G</v>
      </c>
      <c r="Z84" s="9" t="str">
        <f>IFERROR(IF(tblInputSheet[[#This Row],[Owner]] = "", "", tblInputSheet[[#This Row],[Owner]]), "")</f>
        <v>Alak</v>
      </c>
      <c r="AA84" s="9" t="str">
        <f>IFERROR(IF(tblInputSheet[[#This Row],[Notes]] = "", "", tblInputSheet[[#This Row],[Notes]]), "")</f>
        <v/>
      </c>
    </row>
    <row r="85" spans="1:27" x14ac:dyDescent="0.25">
      <c r="A85" s="9">
        <f>IFERROR(IF(tblInputSheet[[#This Row],[Level]] = "", "", tblInputSheet[[#This Row],[Level]]), "")</f>
        <v>3</v>
      </c>
      <c r="B85" s="9">
        <f>IFERROR(IF(tblInputSheet[[#This Row],[Sl.No]] = "", "", tblInputSheet[[#This Row],[Sl.No]]), "")</f>
        <v>83</v>
      </c>
      <c r="C85" s="9" t="str">
        <f>IFERROR(IF(tblInputSheet[[#This Row],[Group]] = "", "", tblInputSheet[[#This Row],[Group]]), "")</f>
        <v>Claim Release</v>
      </c>
      <c r="D85" s="9" t="str">
        <f>IFERROR(IF(tblInputSheet[[#This Row],[Process]] = "", "", REPT("*",Demo!$A85)&amp;""&amp;tblInputSheet[[#This Row],[Process]]), "")</f>
        <v>***Claim Release BC</v>
      </c>
      <c r="E85" s="9" t="str">
        <f>IFERROR(IF(tblInputSheet[[#This Row],[Hosted Platform]] = "", "", tblInputSheet[[#This Row],[Hosted Platform]]), "")</f>
        <v>Legacy BC</v>
      </c>
      <c r="F85" s="9" t="str">
        <f>IFERROR(IF(tblInputSheet[[#This Row],[Provider]] = "-", "", tblInputSheet[[#This Row],[Provider]]), "")</f>
        <v>Claims-Legacy</v>
      </c>
      <c r="G85" s="9" t="str">
        <f>IFERROR(IF(tblInputSheet[[#This Row],[Consumer]] = "-", "", tblInputSheet[[#This Row],[Consumer]]), "")</f>
        <v>Claims-Legacy</v>
      </c>
      <c r="H85" s="9" t="str">
        <f>IFERROR(IF(tblInputSheet[[#This Row],[Integration Pattern]] = "-", "", tblInputSheet[[#This Row],[Integration Pattern]]), "")</f>
        <v>BC Internal</v>
      </c>
      <c r="I85" s="9" t="str">
        <f>IFERROR(IF(tblInputSheet[[#This Row],[Current State]] = "-", "", tblInputSheet[[#This Row],[Current State]]), "")</f>
        <v>Y</v>
      </c>
      <c r="J85" s="9" t="str">
        <f>IFERROR(IF(tblInputSheet[[#This Row],[End State]] = "-", "", tblInputSheet[[#This Row],[End State]]), "")</f>
        <v>N</v>
      </c>
      <c r="K85" s="9" t="str">
        <f>IFERROR(IF(tblInputSheet[[#This Row],[MVP]] = "-", "", tblInputSheet[[#This Row],[MVP]]), "")</f>
        <v>N</v>
      </c>
      <c r="L85" s="9">
        <f>IFERROR(IF(tblInputSheet[[#This Row],[Count of Invocations]] = "", "", tblInputSheet[[#This Row],[Count of Invocations]]), "")</f>
        <v>1</v>
      </c>
      <c r="M85" s="19">
        <f>IFERROR(IF(tblInputSheet[[#This Row],[DB Calls (ms)]] = "", "", tblInputSheet[[#This Row],[DB Calls (ms)]]), "")</f>
        <v>0</v>
      </c>
      <c r="N85" s="19">
        <f>IFERROR(IF(tblInputSheet[[#This Row],[Logic (ms)]] = "", "", tblInputSheet[[#This Row],[Logic (ms)]]), "")</f>
        <v>50</v>
      </c>
      <c r="O85" s="19">
        <f>IFERROR(IF(tblInputSheet[[#This Row],[Rules (ms)]] = "", "", tblInputSheet[[#This Row],[Rules (ms)]]), "")</f>
        <v>0</v>
      </c>
      <c r="P85" s="19">
        <f>IFERROR(IF(tblInputSheet[[#This Row],[Latency (ms)]] = "", "", tblInputSheet[[#This Row],[Latency (ms)]]), "")</f>
        <v>0</v>
      </c>
      <c r="Q85" s="9">
        <f>IFERROR(SUM(tblDisplaySheet2[[#This Row],[DB Calls (ms)]:[Latency (ms)]]), "")</f>
        <v>50</v>
      </c>
      <c r="R85" s="9">
        <f>IFERROR(tblDisplaySheet[[#This Row],[Total Process Time]], "")</f>
        <v>50</v>
      </c>
      <c r="S85" s="9">
        <f>IFERROR(tblDisplaySheet[[#This Row],[Total Process Path Length]], "")</f>
        <v>200</v>
      </c>
      <c r="T85" s="9">
        <f>IFERROR(tblDisplaySheet[[#This Row],[Process NFR]], "")</f>
        <v>50</v>
      </c>
      <c r="U85" s="9">
        <f>IFERROR(tblDisplaySheet[[#This Row],[Total Process NFR]], "")</f>
        <v>50</v>
      </c>
      <c r="V85" s="9">
        <f>IFERROR(tblDisplaySheet[[#This Row],[Total Process Path Length NFR]], "")</f>
        <v>200</v>
      </c>
      <c r="W85" s="9">
        <f>IFERROR(tblDisplaySheet[[#This Row],[Difference]], "")</f>
        <v>0</v>
      </c>
      <c r="X85" s="9" t="str">
        <f>IFERROR(tblDisplaySheet[[#This Row],[Status]], "")</f>
        <v>On Target</v>
      </c>
      <c r="Y85" s="24" t="str">
        <f>IFERROR(tblDisplaySheet[[#This Row],[Is Leaf?]], "")</f>
        <v>N</v>
      </c>
      <c r="Z85" s="9" t="str">
        <f>IFERROR(IF(tblInputSheet[[#This Row],[Owner]] = "", "", tblInputSheet[[#This Row],[Owner]]), "")</f>
        <v>Alak</v>
      </c>
      <c r="AA85" s="9" t="str">
        <f>IFERROR(IF(tblInputSheet[[#This Row],[Notes]] = "", "", tblInputSheet[[#This Row],[Notes]]), "")</f>
        <v/>
      </c>
    </row>
    <row r="86" spans="1:27" x14ac:dyDescent="0.25">
      <c r="A86" s="9">
        <f>IFERROR(IF(tblInputSheet[[#This Row],[Level]] = "", "", tblInputSheet[[#This Row],[Level]]), "")</f>
        <v>4</v>
      </c>
      <c r="B86" s="9">
        <f>IFERROR(IF(tblInputSheet[[#This Row],[Sl.No]] = "", "", tblInputSheet[[#This Row],[Sl.No]]), "")</f>
        <v>84</v>
      </c>
      <c r="C86" s="9" t="str">
        <f>IFERROR(IF(tblInputSheet[[#This Row],[Group]] = "", "", tblInputSheet[[#This Row],[Group]]), "")</f>
        <v>Claim Release</v>
      </c>
      <c r="D86" s="9" t="str">
        <f>IFERROR(IF(tblInputSheet[[#This Row],[Process]] = "", "", REPT("*",Demo!$A86)&amp;""&amp;tblInputSheet[[#This Row],[Process]]), "")</f>
        <v>****Claim Release - Update Keystone Ledger 2.0</v>
      </c>
      <c r="E86" s="9" t="str">
        <f>IFERROR(IF(tblInputSheet[[#This Row],[Hosted Platform]] = "", "", tblInputSheet[[#This Row],[Hosted Platform]]), "")</f>
        <v>Legacy BC</v>
      </c>
      <c r="F86" s="9" t="str">
        <f>IFERROR(IF(tblInputSheet[[#This Row],[Provider]] = "-", "", tblInputSheet[[#This Row],[Provider]]), "")</f>
        <v>Claims-Legacy</v>
      </c>
      <c r="G86" s="9" t="str">
        <f>IFERROR(IF(tblInputSheet[[#This Row],[Consumer]] = "-", "", tblInputSheet[[#This Row],[Consumer]]), "")</f>
        <v>Claims-Legacy</v>
      </c>
      <c r="H86" s="9" t="str">
        <f>IFERROR(IF(tblInputSheet[[#This Row],[Integration Pattern]] = "-", "", tblInputSheet[[#This Row],[Integration Pattern]]), "")</f>
        <v>BC Internal</v>
      </c>
      <c r="I86" s="9" t="str">
        <f>IFERROR(IF(tblInputSheet[[#This Row],[Current State]] = "-", "", tblInputSheet[[#This Row],[Current State]]), "")</f>
        <v>Y</v>
      </c>
      <c r="J86" s="9" t="str">
        <f>IFERROR(IF(tblInputSheet[[#This Row],[End State]] = "-", "", tblInputSheet[[#This Row],[End State]]), "")</f>
        <v>N</v>
      </c>
      <c r="K86" s="9" t="str">
        <f>IFERROR(IF(tblInputSheet[[#This Row],[MVP]] = "-", "", tblInputSheet[[#This Row],[MVP]]), "")</f>
        <v>Y</v>
      </c>
      <c r="L86" s="9">
        <f>IFERROR(IF(tblInputSheet[[#This Row],[Count of Invocations]] = "", "", tblInputSheet[[#This Row],[Count of Invocations]]), "")</f>
        <v>1</v>
      </c>
      <c r="M86" s="19">
        <f>IFERROR(IF(tblInputSheet[[#This Row],[DB Calls (ms)]] = "", "", tblInputSheet[[#This Row],[DB Calls (ms)]]), "")</f>
        <v>0</v>
      </c>
      <c r="N86" s="19">
        <f>IFERROR(IF(tblInputSheet[[#This Row],[Logic (ms)]] = "", "", tblInputSheet[[#This Row],[Logic (ms)]]), "")</f>
        <v>100</v>
      </c>
      <c r="O86" s="19">
        <f>IFERROR(IF(tblInputSheet[[#This Row],[Rules (ms)]] = "", "", tblInputSheet[[#This Row],[Rules (ms)]]), "")</f>
        <v>0</v>
      </c>
      <c r="P86" s="19">
        <f>IFERROR(IF(tblInputSheet[[#This Row],[Latency (ms)]] = "", "", tblInputSheet[[#This Row],[Latency (ms)]]), "")</f>
        <v>0</v>
      </c>
      <c r="Q86" s="9">
        <f>IFERROR(SUM(tblDisplaySheet2[[#This Row],[DB Calls (ms)]:[Latency (ms)]]), "")</f>
        <v>100</v>
      </c>
      <c r="R86" s="9">
        <f>IFERROR(tblDisplaySheet[[#This Row],[Total Process Time]], "")</f>
        <v>100</v>
      </c>
      <c r="S86" s="9">
        <f>IFERROR(tblDisplaySheet[[#This Row],[Total Process Path Length]], "")</f>
        <v>100</v>
      </c>
      <c r="T86" s="9">
        <f>IFERROR(tblDisplaySheet[[#This Row],[Process NFR]], "")</f>
        <v>100</v>
      </c>
      <c r="U86" s="9">
        <f>IFERROR(tblDisplaySheet[[#This Row],[Total Process NFR]], "")</f>
        <v>100</v>
      </c>
      <c r="V86" s="9">
        <f>IFERROR(tblDisplaySheet[[#This Row],[Total Process Path Length NFR]], "")</f>
        <v>100</v>
      </c>
      <c r="W86" s="9">
        <f>IFERROR(tblDisplaySheet[[#This Row],[Difference]], "")</f>
        <v>0</v>
      </c>
      <c r="X86" s="9" t="str">
        <f>IFERROR(tblDisplaySheet[[#This Row],[Status]], "")</f>
        <v>On Target</v>
      </c>
      <c r="Y86" s="24" t="str">
        <f>IFERROR(tblDisplaySheet[[#This Row],[Is Leaf?]], "")</f>
        <v>Y</v>
      </c>
      <c r="Z86" s="9" t="str">
        <f>IFERROR(IF(tblInputSheet[[#This Row],[Owner]] = "", "", tblInputSheet[[#This Row],[Owner]]), "")</f>
        <v>Alak</v>
      </c>
      <c r="AA86" s="9" t="str">
        <f>IFERROR(IF(tblInputSheet[[#This Row],[Notes]] = "", "", tblInputSheet[[#This Row],[Notes]]), "")</f>
        <v/>
      </c>
    </row>
    <row r="87" spans="1:27" x14ac:dyDescent="0.25">
      <c r="A87" s="9">
        <f>IFERROR(IF(tblInputSheet[[#This Row],[Level]] = "", "", tblInputSheet[[#This Row],[Level]]), "")</f>
        <v>4</v>
      </c>
      <c r="B87" s="9">
        <f>IFERROR(IF(tblInputSheet[[#This Row],[Sl.No]] = "", "", tblInputSheet[[#This Row],[Sl.No]]), "")</f>
        <v>85</v>
      </c>
      <c r="C87" s="9" t="str">
        <f>IFERROR(IF(tblInputSheet[[#This Row],[Group]] = "", "", tblInputSheet[[#This Row],[Group]]), "")</f>
        <v>Claim Release</v>
      </c>
      <c r="D87" s="9" t="str">
        <f>IFERROR(IF(tblInputSheet[[#This Row],[Process]] = "", "", REPT("*",Demo!$A87)&amp;""&amp;tblInputSheet[[#This Row],[Process]]), "")</f>
        <v>****Claim Pend Process</v>
      </c>
      <c r="E87" s="9" t="str">
        <f>IFERROR(IF(tblInputSheet[[#This Row],[Hosted Platform]] = "", "", tblInputSheet[[#This Row],[Hosted Platform]]), "")</f>
        <v>Legacy BC</v>
      </c>
      <c r="F87" s="9" t="str">
        <f>IFERROR(IF(tblInputSheet[[#This Row],[Provider]] = "-", "", tblInputSheet[[#This Row],[Provider]]), "")</f>
        <v>Claims-Legacy</v>
      </c>
      <c r="G87" s="9" t="str">
        <f>IFERROR(IF(tblInputSheet[[#This Row],[Consumer]] = "-", "", tblInputSheet[[#This Row],[Consumer]]), "")</f>
        <v>Claims-Legacy</v>
      </c>
      <c r="H87" s="9" t="str">
        <f>IFERROR(IF(tblInputSheet[[#This Row],[Integration Pattern]] = "-", "", tblInputSheet[[#This Row],[Integration Pattern]]), "")</f>
        <v>BC Internal</v>
      </c>
      <c r="I87" s="9" t="str">
        <f>IFERROR(IF(tblInputSheet[[#This Row],[Current State]] = "-", "", tblInputSheet[[#This Row],[Current State]]), "")</f>
        <v>Y</v>
      </c>
      <c r="J87" s="9" t="str">
        <f>IFERROR(IF(tblInputSheet[[#This Row],[End State]] = "-", "", tblInputSheet[[#This Row],[End State]]), "")</f>
        <v>N</v>
      </c>
      <c r="K87" s="9" t="str">
        <f>IFERROR(IF(tblInputSheet[[#This Row],[MVP]] = "-", "", tblInputSheet[[#This Row],[MVP]]), "")</f>
        <v>N</v>
      </c>
      <c r="L87" s="9">
        <f>IFERROR(IF(tblInputSheet[[#This Row],[Count of Invocations]] = "", "", tblInputSheet[[#This Row],[Count of Invocations]]), "")</f>
        <v>1</v>
      </c>
      <c r="M87" s="19">
        <f>IFERROR(IF(tblInputSheet[[#This Row],[DB Calls (ms)]] = "", "", tblInputSheet[[#This Row],[DB Calls (ms)]]), "")</f>
        <v>0</v>
      </c>
      <c r="N87" s="19">
        <f>IFERROR(IF(tblInputSheet[[#This Row],[Logic (ms)]] = "", "", tblInputSheet[[#This Row],[Logic (ms)]]), "")</f>
        <v>50</v>
      </c>
      <c r="O87" s="19">
        <f>IFERROR(IF(tblInputSheet[[#This Row],[Rules (ms)]] = "", "", tblInputSheet[[#This Row],[Rules (ms)]]), "")</f>
        <v>0</v>
      </c>
      <c r="P87" s="19">
        <f>IFERROR(IF(tblInputSheet[[#This Row],[Latency (ms)]] = "", "", tblInputSheet[[#This Row],[Latency (ms)]]), "")</f>
        <v>0</v>
      </c>
      <c r="Q87" s="9">
        <f>IFERROR(SUM(tblDisplaySheet2[[#This Row],[DB Calls (ms)]:[Latency (ms)]]), "")</f>
        <v>50</v>
      </c>
      <c r="R87" s="9">
        <f>IFERROR(tblDisplaySheet[[#This Row],[Total Process Time]], "")</f>
        <v>50</v>
      </c>
      <c r="S87" s="9"/>
      <c r="T87" s="9">
        <f>IFERROR(tblDisplaySheet[[#This Row],[Process NFR]], "")</f>
        <v>50</v>
      </c>
      <c r="U87" s="9">
        <f>IFERROR(tblDisplaySheet[[#This Row],[Total Process NFR]], "")</f>
        <v>50</v>
      </c>
      <c r="V87" s="9"/>
      <c r="W87" s="9">
        <f>IFERROR(tblDisplaySheet[[#This Row],[Difference]], "")</f>
        <v>0</v>
      </c>
      <c r="X87" s="9" t="str">
        <f>IFERROR(tblDisplaySheet[[#This Row],[Status]], "")</f>
        <v>On Target</v>
      </c>
      <c r="Y87" s="24" t="str">
        <f>IFERROR(tblDisplaySheet[[#This Row],[Is Leaf?]], "")</f>
        <v>Y</v>
      </c>
      <c r="Z87" s="9" t="str">
        <f>IFERROR(IF(tblInputSheet[[#This Row],[Owner]] = "", "", tblInputSheet[[#This Row],[Owner]]), "")</f>
        <v>Alak</v>
      </c>
      <c r="AA87" s="9" t="str">
        <f>IFERROR(IF(tblInputSheet[[#This Row],[Notes]] = "", "", tblInputSheet[[#This Row],[Notes]]), "")</f>
        <v/>
      </c>
    </row>
  </sheetData>
  <conditionalFormatting sqref="X3 X59">
    <cfRule type="expression" dxfId="37" priority="9">
      <formula>$X3="Off Target"</formula>
    </cfRule>
    <cfRule type="expression" dxfId="36" priority="10">
      <formula>$X3="On Target"</formula>
    </cfRule>
  </conditionalFormatting>
  <conditionalFormatting sqref="D3:D100">
    <cfRule type="expression" dxfId="35" priority="1">
      <formula>$Y3="G"</formula>
    </cfRule>
    <cfRule type="expression" dxfId="34" priority="8">
      <formula>$Y3="Y"</formula>
    </cfRule>
  </conditionalFormatting>
  <conditionalFormatting sqref="X4:X58">
    <cfRule type="expression" dxfId="33" priority="6">
      <formula>$X4="Off Target"</formula>
    </cfRule>
    <cfRule type="expression" dxfId="32" priority="7">
      <formula>$X4="On Target"</formula>
    </cfRule>
  </conditionalFormatting>
  <conditionalFormatting sqref="X60:X86">
    <cfRule type="expression" dxfId="31" priority="2">
      <formula>$X60="Off Target"</formula>
    </cfRule>
    <cfRule type="expression" dxfId="30" priority="3">
      <formula>$X60="On Target"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DEEF-07E5-4ACB-A8F4-2B2BBF91F895}">
  <sheetPr codeName="Sheet6"/>
  <dimension ref="B1:AA19"/>
  <sheetViews>
    <sheetView workbookViewId="0">
      <selection activeCell="D9" sqref="D9"/>
    </sheetView>
  </sheetViews>
  <sheetFormatPr defaultRowHeight="15" x14ac:dyDescent="0.25"/>
  <cols>
    <col min="1" max="1" width="9.140625" style="7"/>
    <col min="2" max="2" width="18.28515625" style="7" bestFit="1" customWidth="1"/>
    <col min="3" max="3" width="15.85546875" style="7" customWidth="1"/>
    <col min="4" max="4" width="18" style="7" bestFit="1" customWidth="1"/>
    <col min="5" max="5" width="24.85546875" style="7" customWidth="1"/>
    <col min="6" max="6" width="9.140625" style="7"/>
    <col min="7" max="7" width="26.5703125" style="7" customWidth="1"/>
    <col min="8" max="8" width="17.5703125" style="7" customWidth="1"/>
    <col min="9" max="9" width="18.5703125" style="7" customWidth="1"/>
    <col min="10" max="10" width="36" style="7" customWidth="1"/>
    <col min="11" max="11" width="9.140625" style="7"/>
    <col min="12" max="12" width="25.85546875" style="7" bestFit="1" customWidth="1"/>
    <col min="13" max="14" width="22.85546875" style="7" customWidth="1"/>
    <col min="15" max="15" width="31.140625" style="7" bestFit="1" customWidth="1"/>
    <col min="16" max="16" width="7.85546875" style="7" customWidth="1"/>
    <col min="17" max="17" width="20.140625" style="7" bestFit="1" customWidth="1"/>
    <col min="18" max="18" width="21.140625" style="7" bestFit="1" customWidth="1"/>
    <col min="19" max="19" width="26" style="7" bestFit="1" customWidth="1"/>
    <col min="20" max="20" width="9.140625" style="7"/>
    <col min="21" max="21" width="18.140625" style="7" bestFit="1" customWidth="1"/>
    <col min="22" max="22" width="19.140625" style="7" customWidth="1"/>
    <col min="23" max="23" width="28.85546875" style="7" bestFit="1" customWidth="1"/>
    <col min="24" max="24" width="8.85546875" style="7" customWidth="1"/>
    <col min="25" max="25" width="20.42578125" style="7" customWidth="1"/>
    <col min="26" max="26" width="19.140625" style="7" bestFit="1" customWidth="1"/>
    <col min="27" max="27" width="18.42578125" style="7" customWidth="1"/>
    <col min="28" max="16384" width="9.140625" style="7"/>
  </cols>
  <sheetData>
    <row r="1" spans="2:27" x14ac:dyDescent="0.25">
      <c r="B1" s="7" t="s">
        <v>22</v>
      </c>
      <c r="C1" s="7" t="s">
        <v>23</v>
      </c>
      <c r="G1" s="7" t="s">
        <v>22</v>
      </c>
      <c r="H1" s="7" t="s">
        <v>24</v>
      </c>
      <c r="L1" s="7" t="s">
        <v>25</v>
      </c>
      <c r="M1" s="7" t="s">
        <v>26</v>
      </c>
      <c r="Q1" s="7" t="s">
        <v>25</v>
      </c>
      <c r="R1" s="7" t="s">
        <v>27</v>
      </c>
      <c r="U1" s="7" t="s">
        <v>25</v>
      </c>
      <c r="V1" s="7" t="s">
        <v>28</v>
      </c>
      <c r="Y1" s="7" t="s">
        <v>25</v>
      </c>
      <c r="Z1" s="7" t="s">
        <v>29</v>
      </c>
    </row>
    <row r="2" spans="2:27" x14ac:dyDescent="0.25">
      <c r="B2" s="7" t="s">
        <v>30</v>
      </c>
      <c r="C2" s="7" t="s">
        <v>148</v>
      </c>
      <c r="G2" s="7" t="s">
        <v>30</v>
      </c>
      <c r="H2" s="7" t="s">
        <v>31</v>
      </c>
      <c r="L2" s="2" t="s">
        <v>30</v>
      </c>
      <c r="M2" s="2" t="s">
        <v>32</v>
      </c>
      <c r="N2" s="2"/>
      <c r="O2" s="2"/>
      <c r="P2" s="2"/>
      <c r="Q2" s="2" t="s">
        <v>30</v>
      </c>
      <c r="R2" s="2" t="s">
        <v>33</v>
      </c>
      <c r="T2" s="2"/>
      <c r="U2" s="2" t="s">
        <v>30</v>
      </c>
      <c r="V2" s="2" t="s">
        <v>34</v>
      </c>
      <c r="Y2" s="2" t="s">
        <v>30</v>
      </c>
      <c r="Z2" s="2" t="s">
        <v>35</v>
      </c>
    </row>
    <row r="3" spans="2:27" x14ac:dyDescent="0.25">
      <c r="B3" s="7" t="s">
        <v>36</v>
      </c>
      <c r="C3" s="7" t="s">
        <v>37</v>
      </c>
      <c r="D3" s="7" t="s">
        <v>38</v>
      </c>
      <c r="E3" s="7" t="s">
        <v>39</v>
      </c>
      <c r="G3" s="7" t="s">
        <v>40</v>
      </c>
      <c r="H3" s="7" t="s">
        <v>41</v>
      </c>
      <c r="I3" s="7" t="s">
        <v>38</v>
      </c>
      <c r="J3" s="7" t="s">
        <v>42</v>
      </c>
      <c r="L3" s="7" t="s">
        <v>43</v>
      </c>
      <c r="M3" s="7" t="s">
        <v>44</v>
      </c>
      <c r="N3" s="7" t="s">
        <v>38</v>
      </c>
      <c r="O3" s="7" t="s">
        <v>45</v>
      </c>
      <c r="Q3" s="7" t="s">
        <v>46</v>
      </c>
      <c r="R3" s="7" t="s">
        <v>38</v>
      </c>
      <c r="S3" s="7" t="s">
        <v>47</v>
      </c>
      <c r="U3" s="7" t="s">
        <v>48</v>
      </c>
      <c r="V3" s="7" t="s">
        <v>38</v>
      </c>
      <c r="W3" s="7" t="s">
        <v>49</v>
      </c>
      <c r="Y3" s="7" t="s">
        <v>50</v>
      </c>
      <c r="Z3" s="7" t="s">
        <v>38</v>
      </c>
      <c r="AA3" s="7" t="s">
        <v>30</v>
      </c>
    </row>
    <row r="4" spans="2:27" x14ac:dyDescent="0.25">
      <c r="B4" s="7" t="s">
        <v>17</v>
      </c>
      <c r="C4" s="7" t="s">
        <v>51</v>
      </c>
      <c r="D4" s="7" t="s">
        <v>275</v>
      </c>
      <c r="E4" s="7" t="str">
        <f>C4&amp;":"&amp;B4</f>
        <v>CC000:Business Process</v>
      </c>
      <c r="G4" s="7" t="s">
        <v>82</v>
      </c>
      <c r="H4" s="7" t="s">
        <v>52</v>
      </c>
      <c r="I4" s="7" t="s">
        <v>53</v>
      </c>
      <c r="J4" s="7" t="str">
        <f>H4&amp;":"&amp;G4</f>
        <v>PP000:NA</v>
      </c>
      <c r="L4" s="7" t="s">
        <v>82</v>
      </c>
      <c r="M4" s="7" t="s">
        <v>82</v>
      </c>
      <c r="N4" s="7" t="s">
        <v>256</v>
      </c>
      <c r="O4" s="7" t="str">
        <f>M4&amp;":"&amp;L4</f>
        <v>NA:NA</v>
      </c>
      <c r="Q4" s="7" t="s">
        <v>55</v>
      </c>
      <c r="R4" s="7" t="s">
        <v>257</v>
      </c>
      <c r="S4" s="7" t="s">
        <v>56</v>
      </c>
      <c r="U4" s="7" t="s">
        <v>57</v>
      </c>
      <c r="V4" s="7" t="s">
        <v>58</v>
      </c>
      <c r="W4" s="7" t="s">
        <v>59</v>
      </c>
      <c r="Y4" s="7" t="s">
        <v>20</v>
      </c>
      <c r="Z4" s="7" t="s">
        <v>60</v>
      </c>
      <c r="AA4" s="7" t="s">
        <v>61</v>
      </c>
    </row>
    <row r="5" spans="2:27" x14ac:dyDescent="0.25">
      <c r="B5" s="7" t="s">
        <v>62</v>
      </c>
      <c r="C5" s="7" t="s">
        <v>63</v>
      </c>
      <c r="D5" s="7" t="s">
        <v>259</v>
      </c>
      <c r="E5" s="7" t="str">
        <f t="shared" ref="E5:E13" si="0">C5&amp;":"&amp;B5</f>
        <v>CC001:PCF</v>
      </c>
      <c r="G5" s="7" t="s">
        <v>64</v>
      </c>
      <c r="H5" s="7" t="s">
        <v>65</v>
      </c>
      <c r="I5" s="7" t="s">
        <v>66</v>
      </c>
      <c r="J5" s="7" t="str">
        <f>H5&amp;":"&amp;G5</f>
        <v>PP001:Key-Claims Adjudication</v>
      </c>
      <c r="L5" s="7" t="s">
        <v>3</v>
      </c>
      <c r="M5" s="7" t="s">
        <v>54</v>
      </c>
      <c r="N5" s="7" t="s">
        <v>258</v>
      </c>
      <c r="O5" s="7" t="str">
        <f>M5&amp;":"&amp;L5</f>
        <v>IP000:Group</v>
      </c>
      <c r="Q5" s="7" t="s">
        <v>68</v>
      </c>
      <c r="R5" s="7" t="s">
        <v>255</v>
      </c>
      <c r="S5" s="7" t="s">
        <v>69</v>
      </c>
      <c r="U5" s="7" t="s">
        <v>70</v>
      </c>
      <c r="V5" s="7" t="s">
        <v>71</v>
      </c>
      <c r="W5" s="7" t="s">
        <v>72</v>
      </c>
      <c r="Y5" s="7" t="s">
        <v>73</v>
      </c>
      <c r="Z5" s="7" t="s">
        <v>74</v>
      </c>
      <c r="AA5" s="7" t="s">
        <v>75</v>
      </c>
    </row>
    <row r="6" spans="2:27" x14ac:dyDescent="0.25">
      <c r="B6" s="7" t="s">
        <v>76</v>
      </c>
      <c r="C6" s="7" t="s">
        <v>77</v>
      </c>
      <c r="D6" s="7" t="s">
        <v>260</v>
      </c>
      <c r="E6" s="7" t="str">
        <f t="shared" si="0"/>
        <v>CC002:Mule ESB</v>
      </c>
      <c r="G6" s="7" t="s">
        <v>78</v>
      </c>
      <c r="H6" s="7" t="s">
        <v>79</v>
      </c>
      <c r="I6" s="7" t="s">
        <v>80</v>
      </c>
      <c r="J6" s="7" t="str">
        <f t="shared" ref="J6:J19" si="1">H6&amp;":"&amp;G6</f>
        <v>PP002:Key-Contract Authoring</v>
      </c>
      <c r="L6" s="7" t="s">
        <v>252</v>
      </c>
      <c r="M6" s="7" t="s">
        <v>67</v>
      </c>
      <c r="N6" s="7" t="s">
        <v>266</v>
      </c>
      <c r="O6" s="7" t="str">
        <f>M6&amp;":"&amp;L6</f>
        <v>IP001:PCF Internal (C-to-C)</v>
      </c>
      <c r="Q6" s="7" t="s">
        <v>82</v>
      </c>
      <c r="R6" s="7" t="s">
        <v>256</v>
      </c>
      <c r="S6" s="7" t="s">
        <v>83</v>
      </c>
      <c r="U6" s="7" t="s">
        <v>84</v>
      </c>
      <c r="V6" s="7" t="s">
        <v>85</v>
      </c>
      <c r="W6" s="7" t="s">
        <v>86</v>
      </c>
      <c r="Y6" s="7" t="s">
        <v>19</v>
      </c>
      <c r="Z6" s="7" t="s">
        <v>87</v>
      </c>
      <c r="AA6" s="7" t="s">
        <v>88</v>
      </c>
    </row>
    <row r="7" spans="2:27" x14ac:dyDescent="0.25">
      <c r="B7" s="7" t="s">
        <v>89</v>
      </c>
      <c r="C7" s="7" t="s">
        <v>90</v>
      </c>
      <c r="D7" s="7" t="s">
        <v>261</v>
      </c>
      <c r="E7" s="7" t="str">
        <f t="shared" si="0"/>
        <v>CC003:Mule API Gateway</v>
      </c>
      <c r="G7" s="7" t="s">
        <v>91</v>
      </c>
      <c r="H7" s="7" t="s">
        <v>92</v>
      </c>
      <c r="I7" s="7" t="s">
        <v>93</v>
      </c>
      <c r="J7" s="7" t="str">
        <f>H7&amp;":"&amp;G7</f>
        <v>PP003:Key-Claims UI</v>
      </c>
      <c r="L7" s="7" t="s">
        <v>94</v>
      </c>
      <c r="M7" s="7" t="s">
        <v>81</v>
      </c>
      <c r="N7" s="7" t="s">
        <v>269</v>
      </c>
      <c r="O7" s="7" t="str">
        <f t="shared" ref="O7:O15" si="2">M7&amp;":"&amp;L7</f>
        <v xml:space="preserve">IP002:REST Service - MQ </v>
      </c>
      <c r="U7" s="7" t="s">
        <v>21</v>
      </c>
      <c r="V7" s="7" t="s">
        <v>96</v>
      </c>
      <c r="W7" s="7" t="s">
        <v>3</v>
      </c>
      <c r="Y7" s="7" t="s">
        <v>18</v>
      </c>
      <c r="Z7" s="7" t="s">
        <v>87</v>
      </c>
      <c r="AA7" s="7" t="s">
        <v>166</v>
      </c>
    </row>
    <row r="8" spans="2:27" x14ac:dyDescent="0.25">
      <c r="B8" s="7" t="s">
        <v>97</v>
      </c>
      <c r="C8" s="7" t="s">
        <v>98</v>
      </c>
      <c r="D8" s="7" t="s">
        <v>288</v>
      </c>
      <c r="E8" s="7" t="str">
        <f t="shared" si="0"/>
        <v>CC004:Legacy BC</v>
      </c>
      <c r="G8" s="7" t="s">
        <v>99</v>
      </c>
      <c r="H8" s="7" t="s">
        <v>100</v>
      </c>
      <c r="I8" s="7" t="s">
        <v>101</v>
      </c>
      <c r="J8" s="7" t="str">
        <f t="shared" si="1"/>
        <v>PP004:Claims-Legacy</v>
      </c>
      <c r="L8" s="7" t="s">
        <v>198</v>
      </c>
      <c r="M8" s="7" t="s">
        <v>95</v>
      </c>
      <c r="N8" s="7" t="s">
        <v>267</v>
      </c>
      <c r="O8" s="7" t="str">
        <f t="shared" si="2"/>
        <v>IP003:ESB - MQ Integration</v>
      </c>
      <c r="U8" s="7" t="s">
        <v>18</v>
      </c>
      <c r="V8" s="7" t="s">
        <v>155</v>
      </c>
      <c r="W8" s="7" t="s">
        <v>18</v>
      </c>
    </row>
    <row r="9" spans="2:27" x14ac:dyDescent="0.25">
      <c r="B9" s="7" t="s">
        <v>251</v>
      </c>
      <c r="C9" s="7" t="s">
        <v>103</v>
      </c>
      <c r="D9" s="7" t="s">
        <v>263</v>
      </c>
      <c r="E9" s="7" t="str">
        <f t="shared" si="0"/>
        <v>CC005:Legacy Modernized</v>
      </c>
      <c r="G9" s="7" t="s">
        <v>104</v>
      </c>
      <c r="H9" s="7" t="s">
        <v>105</v>
      </c>
      <c r="I9" s="7" t="s">
        <v>106</v>
      </c>
      <c r="J9" s="7" t="str">
        <f t="shared" si="1"/>
        <v>PP005:Claims-Modernized</v>
      </c>
      <c r="L9" s="7" t="s">
        <v>199</v>
      </c>
      <c r="M9" s="7" t="s">
        <v>102</v>
      </c>
      <c r="N9" s="7" t="s">
        <v>268</v>
      </c>
      <c r="O9" s="7" t="str">
        <f t="shared" si="2"/>
        <v>IP004:ESB - CTG Integration</v>
      </c>
    </row>
    <row r="10" spans="2:27" x14ac:dyDescent="0.25">
      <c r="B10" s="7" t="s">
        <v>108</v>
      </c>
      <c r="C10" s="7" t="s">
        <v>109</v>
      </c>
      <c r="D10" s="7" t="s">
        <v>264</v>
      </c>
      <c r="E10" s="7" t="str">
        <f t="shared" si="0"/>
        <v>CC006:Cross-Product</v>
      </c>
      <c r="G10" s="7" t="s">
        <v>110</v>
      </c>
      <c r="H10" s="7" t="s">
        <v>111</v>
      </c>
      <c r="I10" s="7" t="s">
        <v>112</v>
      </c>
      <c r="J10" s="7" t="str">
        <f t="shared" si="1"/>
        <v>PP006:Claims-DDE</v>
      </c>
      <c r="L10" s="7" t="s">
        <v>200</v>
      </c>
      <c r="M10" s="7" t="s">
        <v>107</v>
      </c>
      <c r="N10" s="7" t="s">
        <v>262</v>
      </c>
      <c r="O10" s="7" t="str">
        <f t="shared" si="2"/>
        <v>IP005:ESB - REST Service</v>
      </c>
    </row>
    <row r="11" spans="2:27" x14ac:dyDescent="0.25">
      <c r="B11" s="7" t="s">
        <v>114</v>
      </c>
      <c r="C11" s="7" t="s">
        <v>115</v>
      </c>
      <c r="D11" s="7" t="s">
        <v>274</v>
      </c>
      <c r="E11" s="7" t="str">
        <f t="shared" si="0"/>
        <v>CC007:Cross-Portfolio</v>
      </c>
      <c r="G11" s="7" t="s">
        <v>116</v>
      </c>
      <c r="H11" s="7" t="s">
        <v>117</v>
      </c>
      <c r="I11" s="7" t="s">
        <v>118</v>
      </c>
      <c r="J11" s="7" t="str">
        <f t="shared" si="1"/>
        <v>PP007:Claims-Shared Accums</v>
      </c>
      <c r="L11" s="7" t="s">
        <v>201</v>
      </c>
      <c r="M11" s="7" t="s">
        <v>113</v>
      </c>
      <c r="N11" s="7" t="s">
        <v>262</v>
      </c>
      <c r="O11" s="7" t="str">
        <f t="shared" si="2"/>
        <v>IP006:REST Service - ESB</v>
      </c>
    </row>
    <row r="12" spans="2:27" x14ac:dyDescent="0.25">
      <c r="B12" s="7" t="s">
        <v>120</v>
      </c>
      <c r="C12" s="7" t="s">
        <v>121</v>
      </c>
      <c r="D12" s="7" t="s">
        <v>265</v>
      </c>
      <c r="E12" s="7" t="str">
        <f t="shared" si="0"/>
        <v>CC008:External</v>
      </c>
      <c r="G12" s="7" t="s">
        <v>122</v>
      </c>
      <c r="H12" s="7" t="s">
        <v>123</v>
      </c>
      <c r="I12" s="7" t="s">
        <v>124</v>
      </c>
      <c r="J12" s="7" t="str">
        <f t="shared" si="1"/>
        <v>PP008:Customer Engagement</v>
      </c>
      <c r="L12" s="7" t="s">
        <v>125</v>
      </c>
      <c r="M12" s="7" t="s">
        <v>119</v>
      </c>
      <c r="N12" s="7" t="s">
        <v>270</v>
      </c>
      <c r="O12" s="7" t="str">
        <f t="shared" si="2"/>
        <v>IP007:REST Service - API</v>
      </c>
    </row>
    <row r="13" spans="2:27" x14ac:dyDescent="0.25">
      <c r="B13" s="7" t="s">
        <v>83</v>
      </c>
      <c r="C13" s="7" t="s">
        <v>127</v>
      </c>
      <c r="D13" s="7" t="s">
        <v>256</v>
      </c>
      <c r="E13" s="7" t="str">
        <f t="shared" si="0"/>
        <v>CC009:Not Defined</v>
      </c>
      <c r="G13" s="7" t="s">
        <v>128</v>
      </c>
      <c r="H13" s="7" t="s">
        <v>129</v>
      </c>
      <c r="I13" s="7" t="s">
        <v>130</v>
      </c>
      <c r="J13" s="7" t="str">
        <f t="shared" si="1"/>
        <v>PP009:EMPCO</v>
      </c>
      <c r="L13" s="7" t="s">
        <v>131</v>
      </c>
      <c r="M13" s="7" t="s">
        <v>126</v>
      </c>
      <c r="N13" s="7" t="s">
        <v>271</v>
      </c>
      <c r="O13" s="7" t="str">
        <f t="shared" si="2"/>
        <v>IP008:REST Service - SOAP Service</v>
      </c>
    </row>
    <row r="14" spans="2:27" x14ac:dyDescent="0.25">
      <c r="G14" s="7" t="s">
        <v>31</v>
      </c>
      <c r="H14" s="7" t="s">
        <v>133</v>
      </c>
      <c r="I14" s="7" t="s">
        <v>134</v>
      </c>
      <c r="J14" s="7" t="str">
        <f t="shared" si="1"/>
        <v>PP010:Provider</v>
      </c>
      <c r="L14" s="7" t="s">
        <v>135</v>
      </c>
      <c r="M14" s="7" t="s">
        <v>132</v>
      </c>
      <c r="N14" s="7" t="s">
        <v>270</v>
      </c>
      <c r="O14" s="7" t="str">
        <f t="shared" si="2"/>
        <v>IP009:API - REST Service</v>
      </c>
    </row>
    <row r="15" spans="2:27" x14ac:dyDescent="0.25">
      <c r="G15" s="7" t="s">
        <v>137</v>
      </c>
      <c r="H15" s="7" t="s">
        <v>138</v>
      </c>
      <c r="I15" s="7" t="s">
        <v>139</v>
      </c>
      <c r="J15" s="7" t="str">
        <f t="shared" si="1"/>
        <v>PP011:FEP</v>
      </c>
      <c r="L15" s="7" t="s">
        <v>140</v>
      </c>
      <c r="M15" s="7" t="s">
        <v>136</v>
      </c>
      <c r="N15" s="7" t="s">
        <v>272</v>
      </c>
      <c r="O15" s="7" t="str">
        <f t="shared" si="2"/>
        <v>IP010:BC Internal</v>
      </c>
    </row>
    <row r="16" spans="2:27" x14ac:dyDescent="0.25">
      <c r="G16" s="7" t="s">
        <v>141</v>
      </c>
      <c r="H16" s="7" t="s">
        <v>142</v>
      </c>
      <c r="I16" s="7" t="s">
        <v>139</v>
      </c>
      <c r="J16" s="7" t="str">
        <f t="shared" si="1"/>
        <v>PP012:External-PBMs/IPAs</v>
      </c>
    </row>
    <row r="17" spans="7:10" x14ac:dyDescent="0.25">
      <c r="G17" s="7" t="s">
        <v>143</v>
      </c>
      <c r="H17" s="7" t="s">
        <v>144</v>
      </c>
      <c r="I17" s="7" t="s">
        <v>145</v>
      </c>
      <c r="J17" s="7" t="str">
        <f t="shared" si="1"/>
        <v>PP013:Digital</v>
      </c>
    </row>
    <row r="18" spans="7:10" x14ac:dyDescent="0.25">
      <c r="G18" s="7" t="s">
        <v>154</v>
      </c>
      <c r="H18" s="7" t="s">
        <v>147</v>
      </c>
      <c r="I18" s="7" t="s">
        <v>155</v>
      </c>
      <c r="J18" s="7" t="str">
        <f t="shared" si="1"/>
        <v>PP014:Other</v>
      </c>
    </row>
    <row r="19" spans="7:10" x14ac:dyDescent="0.25">
      <c r="G19" s="7" t="s">
        <v>146</v>
      </c>
      <c r="H19" s="7" t="s">
        <v>153</v>
      </c>
      <c r="I19" s="7" t="s">
        <v>96</v>
      </c>
      <c r="J19" s="7" t="str">
        <f t="shared" si="1"/>
        <v>PP015:Unknown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8C3A-1CA4-4C55-8890-278A60E225D0}">
  <sheetPr codeName="Sheet4"/>
  <dimension ref="B1:AA28"/>
  <sheetViews>
    <sheetView workbookViewId="0">
      <selection activeCell="E30" sqref="E30"/>
    </sheetView>
  </sheetViews>
  <sheetFormatPr defaultRowHeight="15" x14ac:dyDescent="0.25"/>
  <cols>
    <col min="2" max="2" width="18.28515625" bestFit="1" customWidth="1"/>
    <col min="3" max="3" width="15.85546875" customWidth="1"/>
    <col min="4" max="4" width="18" bestFit="1" customWidth="1"/>
    <col min="5" max="5" width="24.85546875" customWidth="1"/>
    <col min="7" max="7" width="26.5703125" customWidth="1"/>
    <col min="8" max="8" width="17.5703125" customWidth="1"/>
    <col min="9" max="9" width="18.5703125" customWidth="1"/>
    <col min="10" max="10" width="36" customWidth="1"/>
    <col min="12" max="12" width="25.85546875" bestFit="1" customWidth="1"/>
    <col min="13" max="14" width="22.85546875" customWidth="1"/>
    <col min="15" max="15" width="31.140625" bestFit="1" customWidth="1"/>
    <col min="16" max="16" width="7.85546875" customWidth="1"/>
    <col min="17" max="17" width="20.140625" bestFit="1" customWidth="1"/>
    <col min="18" max="18" width="21.140625" bestFit="1" customWidth="1"/>
    <col min="19" max="19" width="26" bestFit="1" customWidth="1"/>
    <col min="21" max="21" width="18.140625" bestFit="1" customWidth="1"/>
    <col min="22" max="22" width="19.140625" customWidth="1"/>
    <col min="23" max="23" width="28.85546875" bestFit="1" customWidth="1"/>
    <col min="24" max="24" width="8.85546875" customWidth="1"/>
    <col min="25" max="25" width="20.42578125" customWidth="1"/>
    <col min="26" max="26" width="19.140625" bestFit="1" customWidth="1"/>
    <col min="27" max="27" width="18.42578125" customWidth="1"/>
  </cols>
  <sheetData>
    <row r="1" spans="2:27" x14ac:dyDescent="0.25">
      <c r="B1" t="s">
        <v>22</v>
      </c>
      <c r="C1" t="s">
        <v>23</v>
      </c>
      <c r="G1" t="s">
        <v>22</v>
      </c>
      <c r="H1" t="s">
        <v>24</v>
      </c>
      <c r="L1" t="s">
        <v>25</v>
      </c>
      <c r="M1" t="s">
        <v>26</v>
      </c>
      <c r="Q1" t="s">
        <v>25</v>
      </c>
      <c r="R1" t="s">
        <v>27</v>
      </c>
      <c r="U1" t="s">
        <v>25</v>
      </c>
      <c r="V1" t="s">
        <v>28</v>
      </c>
      <c r="Y1" t="s">
        <v>25</v>
      </c>
      <c r="Z1" t="s">
        <v>29</v>
      </c>
    </row>
    <row r="2" spans="2:27" x14ac:dyDescent="0.25">
      <c r="B2" t="s">
        <v>30</v>
      </c>
      <c r="C2" t="s">
        <v>148</v>
      </c>
      <c r="G2" t="s">
        <v>30</v>
      </c>
      <c r="H2" t="s">
        <v>31</v>
      </c>
      <c r="L2" s="2" t="s">
        <v>30</v>
      </c>
      <c r="M2" s="2" t="s">
        <v>32</v>
      </c>
      <c r="N2" s="2"/>
      <c r="O2" s="2"/>
      <c r="P2" s="2"/>
      <c r="Q2" s="2" t="s">
        <v>30</v>
      </c>
      <c r="R2" s="2" t="s">
        <v>33</v>
      </c>
      <c r="T2" s="2"/>
      <c r="U2" s="2" t="s">
        <v>30</v>
      </c>
      <c r="V2" s="2" t="s">
        <v>34</v>
      </c>
      <c r="Y2" s="2" t="s">
        <v>30</v>
      </c>
      <c r="Z2" s="2" t="s">
        <v>35</v>
      </c>
    </row>
    <row r="3" spans="2:27" x14ac:dyDescent="0.25">
      <c r="B3" t="s">
        <v>36</v>
      </c>
      <c r="C3" t="s">
        <v>37</v>
      </c>
      <c r="D3" t="s">
        <v>38</v>
      </c>
      <c r="E3" t="s">
        <v>39</v>
      </c>
      <c r="G3" t="s">
        <v>40</v>
      </c>
      <c r="H3" t="s">
        <v>41</v>
      </c>
      <c r="I3" t="s">
        <v>38</v>
      </c>
      <c r="J3" t="s">
        <v>42</v>
      </c>
      <c r="L3" t="s">
        <v>43</v>
      </c>
      <c r="M3" t="s">
        <v>44</v>
      </c>
      <c r="N3" t="s">
        <v>38</v>
      </c>
      <c r="O3" t="s">
        <v>45</v>
      </c>
      <c r="Q3" t="s">
        <v>46</v>
      </c>
      <c r="R3" t="s">
        <v>38</v>
      </c>
      <c r="S3" t="s">
        <v>47</v>
      </c>
      <c r="U3" t="s">
        <v>48</v>
      </c>
      <c r="V3" t="s">
        <v>38</v>
      </c>
      <c r="W3" t="s">
        <v>49</v>
      </c>
      <c r="Y3" t="s">
        <v>50</v>
      </c>
      <c r="Z3" t="s">
        <v>38</v>
      </c>
      <c r="AA3" t="s">
        <v>30</v>
      </c>
    </row>
    <row r="4" spans="2:27" x14ac:dyDescent="0.25">
      <c r="B4" t="s">
        <v>17</v>
      </c>
      <c r="C4" t="s">
        <v>51</v>
      </c>
      <c r="D4" t="s">
        <v>275</v>
      </c>
      <c r="E4" t="str">
        <f>C4&amp;":"&amp;B4</f>
        <v>CC000:Business Process</v>
      </c>
      <c r="G4" t="s">
        <v>82</v>
      </c>
      <c r="H4" t="s">
        <v>52</v>
      </c>
      <c r="I4" t="s">
        <v>53</v>
      </c>
      <c r="J4" t="str">
        <f>H4&amp;":"&amp;G4</f>
        <v>PP000:NA</v>
      </c>
      <c r="L4" t="s">
        <v>82</v>
      </c>
      <c r="M4" t="s">
        <v>82</v>
      </c>
      <c r="N4" t="s">
        <v>256</v>
      </c>
      <c r="O4" t="str">
        <f>M4&amp;":"&amp;L4</f>
        <v>NA:NA</v>
      </c>
      <c r="Q4" t="s">
        <v>55</v>
      </c>
      <c r="R4" t="s">
        <v>257</v>
      </c>
      <c r="S4" t="s">
        <v>56</v>
      </c>
      <c r="U4" t="s">
        <v>57</v>
      </c>
      <c r="V4" t="s">
        <v>58</v>
      </c>
      <c r="W4" t="s">
        <v>59</v>
      </c>
      <c r="Y4" t="s">
        <v>20</v>
      </c>
      <c r="Z4" t="s">
        <v>60</v>
      </c>
      <c r="AA4" t="s">
        <v>61</v>
      </c>
    </row>
    <row r="5" spans="2:27" x14ac:dyDescent="0.25">
      <c r="B5" t="s">
        <v>62</v>
      </c>
      <c r="C5" t="s">
        <v>63</v>
      </c>
      <c r="D5" t="s">
        <v>259</v>
      </c>
      <c r="E5" t="str">
        <f t="shared" ref="E5:E13" si="0">C5&amp;":"&amp;B5</f>
        <v>CC001:PCF</v>
      </c>
      <c r="G5" t="s">
        <v>64</v>
      </c>
      <c r="H5" t="s">
        <v>65</v>
      </c>
      <c r="I5" t="s">
        <v>66</v>
      </c>
      <c r="J5" t="str">
        <f>H5&amp;":"&amp;G5</f>
        <v>PP001:Key-Claims Adjudication</v>
      </c>
      <c r="L5" s="7" t="s">
        <v>3</v>
      </c>
      <c r="M5" s="7" t="s">
        <v>54</v>
      </c>
      <c r="N5" s="7" t="s">
        <v>258</v>
      </c>
      <c r="O5" s="7" t="str">
        <f>M5&amp;":"&amp;L5</f>
        <v>IP000:Group</v>
      </c>
      <c r="Q5" t="s">
        <v>68</v>
      </c>
      <c r="R5" t="s">
        <v>255</v>
      </c>
      <c r="S5" t="s">
        <v>69</v>
      </c>
      <c r="U5" t="s">
        <v>70</v>
      </c>
      <c r="V5" t="s">
        <v>71</v>
      </c>
      <c r="W5" t="s">
        <v>72</v>
      </c>
      <c r="Y5" t="s">
        <v>73</v>
      </c>
      <c r="Z5" t="s">
        <v>74</v>
      </c>
      <c r="AA5" t="s">
        <v>75</v>
      </c>
    </row>
    <row r="6" spans="2:27" x14ac:dyDescent="0.25">
      <c r="B6" t="s">
        <v>76</v>
      </c>
      <c r="C6" t="s">
        <v>77</v>
      </c>
      <c r="D6" t="s">
        <v>260</v>
      </c>
      <c r="E6" t="str">
        <f t="shared" si="0"/>
        <v>CC002:Mule ESB</v>
      </c>
      <c r="G6" t="s">
        <v>78</v>
      </c>
      <c r="H6" t="s">
        <v>79</v>
      </c>
      <c r="I6" t="s">
        <v>80</v>
      </c>
      <c r="J6" t="str">
        <f t="shared" ref="J6:J18" si="1">H6&amp;":"&amp;G6</f>
        <v>PP002:Key-Contract Authoring</v>
      </c>
      <c r="L6" t="s">
        <v>252</v>
      </c>
      <c r="M6" t="s">
        <v>67</v>
      </c>
      <c r="N6" t="s">
        <v>266</v>
      </c>
      <c r="O6" t="str">
        <f>M6&amp;":"&amp;L6</f>
        <v>IP001:PCF Internal (C-to-C)</v>
      </c>
      <c r="Q6" t="s">
        <v>82</v>
      </c>
      <c r="R6" t="s">
        <v>256</v>
      </c>
      <c r="S6" t="s">
        <v>82</v>
      </c>
      <c r="U6" t="s">
        <v>84</v>
      </c>
      <c r="V6" t="s">
        <v>85</v>
      </c>
      <c r="W6" t="s">
        <v>86</v>
      </c>
      <c r="Y6" t="s">
        <v>19</v>
      </c>
      <c r="Z6" t="s">
        <v>87</v>
      </c>
      <c r="AA6" t="s">
        <v>88</v>
      </c>
    </row>
    <row r="7" spans="2:27" x14ac:dyDescent="0.25">
      <c r="B7" t="s">
        <v>89</v>
      </c>
      <c r="C7" t="s">
        <v>90</v>
      </c>
      <c r="D7" t="s">
        <v>261</v>
      </c>
      <c r="E7" t="str">
        <f t="shared" si="0"/>
        <v>CC003:Mule API Gateway</v>
      </c>
      <c r="G7" t="s">
        <v>91</v>
      </c>
      <c r="H7" t="s">
        <v>92</v>
      </c>
      <c r="I7" t="s">
        <v>93</v>
      </c>
      <c r="J7" t="str">
        <f>H7&amp;":"&amp;G7</f>
        <v>PP003:Key-Claims UI</v>
      </c>
      <c r="L7" t="s">
        <v>94</v>
      </c>
      <c r="M7" t="s">
        <v>81</v>
      </c>
      <c r="N7" s="7" t="s">
        <v>269</v>
      </c>
      <c r="O7" t="str">
        <f t="shared" ref="O7:O15" si="2">M7&amp;":"&amp;L7</f>
        <v xml:space="preserve">IP002:REST Service - MQ </v>
      </c>
      <c r="U7" t="s">
        <v>21</v>
      </c>
      <c r="V7" t="s">
        <v>96</v>
      </c>
      <c r="W7" t="s">
        <v>3</v>
      </c>
      <c r="Y7" t="s">
        <v>18</v>
      </c>
      <c r="Z7" t="s">
        <v>87</v>
      </c>
      <c r="AA7" t="s">
        <v>166</v>
      </c>
    </row>
    <row r="8" spans="2:27" x14ac:dyDescent="0.25">
      <c r="B8" t="s">
        <v>97</v>
      </c>
      <c r="C8" t="s">
        <v>98</v>
      </c>
      <c r="D8" t="s">
        <v>276</v>
      </c>
      <c r="E8" t="str">
        <f t="shared" si="0"/>
        <v>CC004:Legacy BC</v>
      </c>
      <c r="G8" t="s">
        <v>99</v>
      </c>
      <c r="H8" t="s">
        <v>100</v>
      </c>
      <c r="I8" t="s">
        <v>101</v>
      </c>
      <c r="J8" t="str">
        <f t="shared" si="1"/>
        <v>PP004:Claims-Legacy</v>
      </c>
      <c r="L8" t="s">
        <v>198</v>
      </c>
      <c r="M8" t="s">
        <v>95</v>
      </c>
      <c r="N8" t="s">
        <v>267</v>
      </c>
      <c r="O8" t="str">
        <f t="shared" si="2"/>
        <v>IP003:ESB - MQ Integration</v>
      </c>
      <c r="U8" t="s">
        <v>18</v>
      </c>
      <c r="V8" t="s">
        <v>155</v>
      </c>
      <c r="W8" t="s">
        <v>18</v>
      </c>
    </row>
    <row r="9" spans="2:27" x14ac:dyDescent="0.25">
      <c r="B9" t="s">
        <v>251</v>
      </c>
      <c r="C9" t="s">
        <v>103</v>
      </c>
      <c r="D9" t="s">
        <v>263</v>
      </c>
      <c r="E9" t="str">
        <f t="shared" si="0"/>
        <v>CC005:Legacy Modernized</v>
      </c>
      <c r="G9" t="s">
        <v>104</v>
      </c>
      <c r="H9" t="s">
        <v>105</v>
      </c>
      <c r="I9" t="s">
        <v>106</v>
      </c>
      <c r="J9" t="str">
        <f t="shared" si="1"/>
        <v>PP005:Claims-Modernized</v>
      </c>
      <c r="L9" t="s">
        <v>199</v>
      </c>
      <c r="M9" t="s">
        <v>102</v>
      </c>
      <c r="N9" t="s">
        <v>268</v>
      </c>
      <c r="O9" t="str">
        <f t="shared" si="2"/>
        <v>IP004:ESB - CTG Integration</v>
      </c>
    </row>
    <row r="10" spans="2:27" x14ac:dyDescent="0.25">
      <c r="B10" t="s">
        <v>108</v>
      </c>
      <c r="C10" t="s">
        <v>109</v>
      </c>
      <c r="D10" t="s">
        <v>264</v>
      </c>
      <c r="E10" t="str">
        <f t="shared" si="0"/>
        <v>CC006:Cross-Product</v>
      </c>
      <c r="G10" t="s">
        <v>110</v>
      </c>
      <c r="H10" t="s">
        <v>111</v>
      </c>
      <c r="I10" t="s">
        <v>112</v>
      </c>
      <c r="J10" t="str">
        <f t="shared" si="1"/>
        <v>PP006:Claims-DDE</v>
      </c>
      <c r="L10" t="s">
        <v>200</v>
      </c>
      <c r="M10" t="s">
        <v>107</v>
      </c>
      <c r="N10" s="7" t="s">
        <v>262</v>
      </c>
      <c r="O10" t="str">
        <f t="shared" si="2"/>
        <v>IP005:ESB - REST Service</v>
      </c>
    </row>
    <row r="11" spans="2:27" x14ac:dyDescent="0.25">
      <c r="B11" t="s">
        <v>114</v>
      </c>
      <c r="C11" t="s">
        <v>115</v>
      </c>
      <c r="D11" t="s">
        <v>274</v>
      </c>
      <c r="E11" t="str">
        <f t="shared" si="0"/>
        <v>CC007:Cross-Portfolio</v>
      </c>
      <c r="G11" t="s">
        <v>116</v>
      </c>
      <c r="H11" t="s">
        <v>117</v>
      </c>
      <c r="I11" t="s">
        <v>118</v>
      </c>
      <c r="J11" t="str">
        <f t="shared" si="1"/>
        <v>PP007:Claims-Shared Accums</v>
      </c>
      <c r="L11" t="s">
        <v>201</v>
      </c>
      <c r="M11" t="s">
        <v>113</v>
      </c>
      <c r="N11" s="7" t="s">
        <v>262</v>
      </c>
      <c r="O11" t="str">
        <f t="shared" si="2"/>
        <v>IP006:REST Service - ESB</v>
      </c>
    </row>
    <row r="12" spans="2:27" x14ac:dyDescent="0.25">
      <c r="B12" t="s">
        <v>120</v>
      </c>
      <c r="C12" t="s">
        <v>121</v>
      </c>
      <c r="D12" t="s">
        <v>265</v>
      </c>
      <c r="E12" t="str">
        <f t="shared" si="0"/>
        <v>CC008:External</v>
      </c>
      <c r="G12" t="s">
        <v>122</v>
      </c>
      <c r="H12" t="s">
        <v>123</v>
      </c>
      <c r="I12" t="s">
        <v>124</v>
      </c>
      <c r="J12" t="str">
        <f t="shared" si="1"/>
        <v>PP008:Customer Engagement</v>
      </c>
      <c r="L12" t="s">
        <v>125</v>
      </c>
      <c r="M12" t="s">
        <v>119</v>
      </c>
      <c r="N12" t="s">
        <v>270</v>
      </c>
      <c r="O12" t="str">
        <f t="shared" si="2"/>
        <v>IP007:REST Service - API</v>
      </c>
    </row>
    <row r="13" spans="2:27" x14ac:dyDescent="0.25">
      <c r="B13" t="s">
        <v>83</v>
      </c>
      <c r="C13" t="s">
        <v>127</v>
      </c>
      <c r="D13" t="s">
        <v>256</v>
      </c>
      <c r="E13" t="str">
        <f t="shared" si="0"/>
        <v>CC009:Not Defined</v>
      </c>
      <c r="G13" t="s">
        <v>128</v>
      </c>
      <c r="H13" t="s">
        <v>129</v>
      </c>
      <c r="I13" t="s">
        <v>130</v>
      </c>
      <c r="J13" t="str">
        <f t="shared" si="1"/>
        <v>PP009:EMPCO</v>
      </c>
      <c r="L13" t="s">
        <v>131</v>
      </c>
      <c r="M13" t="s">
        <v>126</v>
      </c>
      <c r="N13" t="s">
        <v>271</v>
      </c>
      <c r="O13" t="str">
        <f t="shared" si="2"/>
        <v>IP008:REST Service - SOAP Service</v>
      </c>
    </row>
    <row r="14" spans="2:27" x14ac:dyDescent="0.25">
      <c r="G14" t="s">
        <v>31</v>
      </c>
      <c r="H14" t="s">
        <v>133</v>
      </c>
      <c r="I14" t="s">
        <v>134</v>
      </c>
      <c r="J14" t="str">
        <f t="shared" si="1"/>
        <v>PP010:Provider</v>
      </c>
      <c r="L14" t="s">
        <v>135</v>
      </c>
      <c r="M14" t="s">
        <v>132</v>
      </c>
      <c r="N14" s="7" t="s">
        <v>270</v>
      </c>
      <c r="O14" t="str">
        <f t="shared" si="2"/>
        <v>IP009:API - REST Service</v>
      </c>
    </row>
    <row r="15" spans="2:27" x14ac:dyDescent="0.25">
      <c r="G15" t="s">
        <v>137</v>
      </c>
      <c r="H15" t="s">
        <v>138</v>
      </c>
      <c r="I15" t="s">
        <v>139</v>
      </c>
      <c r="J15" t="str">
        <f t="shared" si="1"/>
        <v>PP011:FEP</v>
      </c>
      <c r="L15" t="s">
        <v>140</v>
      </c>
      <c r="M15" t="s">
        <v>136</v>
      </c>
      <c r="N15" t="s">
        <v>272</v>
      </c>
      <c r="O15" t="str">
        <f t="shared" si="2"/>
        <v>IP010:BC Internal</v>
      </c>
    </row>
    <row r="16" spans="2:27" x14ac:dyDescent="0.25">
      <c r="G16" t="s">
        <v>141</v>
      </c>
      <c r="H16" t="s">
        <v>142</v>
      </c>
      <c r="I16" t="s">
        <v>139</v>
      </c>
      <c r="J16" t="str">
        <f t="shared" si="1"/>
        <v>PP012:External-PBMs/IPAs</v>
      </c>
    </row>
    <row r="17" spans="2:10" x14ac:dyDescent="0.25">
      <c r="G17" t="s">
        <v>143</v>
      </c>
      <c r="H17" t="s">
        <v>144</v>
      </c>
      <c r="I17" t="s">
        <v>145</v>
      </c>
      <c r="J17" t="str">
        <f t="shared" si="1"/>
        <v>PP013:Digital</v>
      </c>
    </row>
    <row r="18" spans="2:10" x14ac:dyDescent="0.25">
      <c r="G18" t="s">
        <v>154</v>
      </c>
      <c r="H18" t="s">
        <v>147</v>
      </c>
      <c r="I18" t="s">
        <v>155</v>
      </c>
      <c r="J18" t="str">
        <f t="shared" si="1"/>
        <v>PP014:Other</v>
      </c>
    </row>
    <row r="19" spans="2:10" x14ac:dyDescent="0.25">
      <c r="B19" s="29" t="s">
        <v>277</v>
      </c>
      <c r="G19" t="s">
        <v>146</v>
      </c>
      <c r="H19" t="s">
        <v>153</v>
      </c>
      <c r="I19" t="s">
        <v>96</v>
      </c>
      <c r="J19" t="str">
        <f t="shared" ref="J19" si="3">H19&amp;":"&amp;G19</f>
        <v>PP015:Unknown</v>
      </c>
    </row>
    <row r="20" spans="2:10" x14ac:dyDescent="0.25">
      <c r="B20" s="30" t="s">
        <v>280</v>
      </c>
    </row>
    <row r="21" spans="2:10" x14ac:dyDescent="0.25">
      <c r="B21" s="29" t="s">
        <v>279</v>
      </c>
    </row>
    <row r="22" spans="2:10" x14ac:dyDescent="0.25">
      <c r="B22" s="30" t="s">
        <v>281</v>
      </c>
    </row>
    <row r="23" spans="2:10" x14ac:dyDescent="0.25">
      <c r="B23" s="29" t="s">
        <v>278</v>
      </c>
    </row>
    <row r="24" spans="2:10" x14ac:dyDescent="0.25">
      <c r="B24" s="30" t="s">
        <v>282</v>
      </c>
    </row>
    <row r="25" spans="2:10" x14ac:dyDescent="0.25">
      <c r="B25" s="29" t="s">
        <v>283</v>
      </c>
    </row>
    <row r="26" spans="2:10" x14ac:dyDescent="0.25">
      <c r="B26" s="30" t="s">
        <v>284</v>
      </c>
    </row>
    <row r="27" spans="2:10" x14ac:dyDescent="0.25">
      <c r="B27" s="29" t="s">
        <v>285</v>
      </c>
    </row>
    <row r="28" spans="2:10" x14ac:dyDescent="0.25">
      <c r="B28" s="30" t="s">
        <v>286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C13D2-0DEB-453A-BABC-C21BA87DB464}">
  <sheetPr codeName="Sheet5"/>
  <dimension ref="AU5:CQ43"/>
  <sheetViews>
    <sheetView topLeftCell="AZ1" workbookViewId="0">
      <selection activeCell="CO19" sqref="CO19"/>
    </sheetView>
  </sheetViews>
  <sheetFormatPr defaultRowHeight="15" x14ac:dyDescent="0.25"/>
  <cols>
    <col min="53" max="53" width="34.85546875" customWidth="1"/>
    <col min="95" max="95" width="33" bestFit="1" customWidth="1"/>
  </cols>
  <sheetData>
    <row r="5" spans="47:91" x14ac:dyDescent="0.25">
      <c r="BI5" t="s">
        <v>290</v>
      </c>
      <c r="BJ5" t="s">
        <v>289</v>
      </c>
    </row>
    <row r="6" spans="47:91" x14ac:dyDescent="0.25">
      <c r="BJ6">
        <v>300</v>
      </c>
    </row>
    <row r="11" spans="47:91" x14ac:dyDescent="0.25">
      <c r="BN11" t="s">
        <v>1</v>
      </c>
      <c r="BO11" t="s">
        <v>2</v>
      </c>
      <c r="BP11" t="s">
        <v>3</v>
      </c>
      <c r="BQ11" t="s">
        <v>152</v>
      </c>
      <c r="BR11" t="s">
        <v>148</v>
      </c>
      <c r="BS11" t="s">
        <v>31</v>
      </c>
      <c r="BT11" t="s">
        <v>149</v>
      </c>
      <c r="BU11" t="s">
        <v>5</v>
      </c>
      <c r="BV11" t="s">
        <v>6</v>
      </c>
      <c r="BW11" t="s">
        <v>7</v>
      </c>
      <c r="BX11" t="s">
        <v>8</v>
      </c>
      <c r="BY11" t="s">
        <v>10</v>
      </c>
      <c r="BZ11" t="s">
        <v>11</v>
      </c>
      <c r="CA11" t="s">
        <v>12</v>
      </c>
      <c r="CB11" t="s">
        <v>13</v>
      </c>
      <c r="CC11" t="s">
        <v>14</v>
      </c>
      <c r="CD11" t="s">
        <v>156</v>
      </c>
      <c r="CE11" t="s">
        <v>157</v>
      </c>
      <c r="CF11" t="s">
        <v>158</v>
      </c>
      <c r="CG11" t="s">
        <v>15</v>
      </c>
      <c r="CH11" t="s">
        <v>254</v>
      </c>
      <c r="CI11" t="s">
        <v>159</v>
      </c>
      <c r="CJ11" t="s">
        <v>160</v>
      </c>
      <c r="CK11" t="s">
        <v>161</v>
      </c>
      <c r="CL11" t="s">
        <v>226</v>
      </c>
      <c r="CM11" t="s">
        <v>244</v>
      </c>
    </row>
    <row r="12" spans="47:91" x14ac:dyDescent="0.25">
      <c r="AU12" t="s">
        <v>202</v>
      </c>
      <c r="AV12">
        <v>1</v>
      </c>
      <c r="BN12">
        <v>0</v>
      </c>
      <c r="BO12">
        <v>1</v>
      </c>
      <c r="BP12" t="s">
        <v>16</v>
      </c>
      <c r="BQ12" t="s">
        <v>16</v>
      </c>
      <c r="BR12" t="s">
        <v>17</v>
      </c>
      <c r="BS12" t="s">
        <v>82</v>
      </c>
      <c r="BT12" t="s">
        <v>82</v>
      </c>
      <c r="BU12" t="s">
        <v>3</v>
      </c>
      <c r="BV12" t="s">
        <v>20</v>
      </c>
      <c r="BW12" t="s">
        <v>20</v>
      </c>
      <c r="BX12" t="s">
        <v>20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2076</v>
      </c>
      <c r="CG12">
        <v>0</v>
      </c>
      <c r="CH12">
        <v>0</v>
      </c>
      <c r="CI12">
        <v>2633</v>
      </c>
      <c r="CJ12">
        <v>557</v>
      </c>
      <c r="CK12" t="s">
        <v>56</v>
      </c>
      <c r="CL12" t="s">
        <v>21</v>
      </c>
      <c r="CM12" t="s">
        <v>246</v>
      </c>
    </row>
    <row r="13" spans="47:91" x14ac:dyDescent="0.25">
      <c r="AU13" t="s">
        <v>203</v>
      </c>
      <c r="AV13">
        <v>2</v>
      </c>
      <c r="BN13">
        <v>1</v>
      </c>
      <c r="BO13">
        <v>2</v>
      </c>
      <c r="BP13" t="s">
        <v>163</v>
      </c>
      <c r="BQ13" t="s">
        <v>291</v>
      </c>
      <c r="BR13" t="s">
        <v>97</v>
      </c>
      <c r="BS13" t="s">
        <v>99</v>
      </c>
      <c r="BT13" t="s">
        <v>99</v>
      </c>
      <c r="BU13" t="s">
        <v>140</v>
      </c>
      <c r="BV13" t="s">
        <v>20</v>
      </c>
      <c r="BW13" t="s">
        <v>73</v>
      </c>
      <c r="BX13" t="s">
        <v>73</v>
      </c>
      <c r="BY13">
        <v>1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2076</v>
      </c>
      <c r="CG13">
        <v>0</v>
      </c>
      <c r="CH13">
        <v>0</v>
      </c>
      <c r="CI13">
        <v>2633</v>
      </c>
      <c r="CJ13">
        <v>557</v>
      </c>
      <c r="CK13" t="s">
        <v>56</v>
      </c>
      <c r="CL13" t="s">
        <v>73</v>
      </c>
      <c r="CM13" t="s">
        <v>247</v>
      </c>
    </row>
    <row r="14" spans="47:91" x14ac:dyDescent="0.25">
      <c r="AU14" t="s">
        <v>204</v>
      </c>
      <c r="AV14">
        <v>3</v>
      </c>
      <c r="BN14">
        <v>2</v>
      </c>
      <c r="BO14">
        <v>3</v>
      </c>
      <c r="BP14" t="s">
        <v>167</v>
      </c>
      <c r="BQ14" t="s">
        <v>292</v>
      </c>
      <c r="BR14" t="s">
        <v>17</v>
      </c>
      <c r="BS14" t="s">
        <v>82</v>
      </c>
      <c r="BT14" t="s">
        <v>82</v>
      </c>
      <c r="BU14" t="s">
        <v>198</v>
      </c>
      <c r="BV14" t="s">
        <v>20</v>
      </c>
      <c r="BW14" t="s">
        <v>20</v>
      </c>
      <c r="BX14" t="s">
        <v>20</v>
      </c>
      <c r="BY14">
        <v>1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290</v>
      </c>
      <c r="CG14">
        <v>0</v>
      </c>
      <c r="CH14">
        <v>0</v>
      </c>
      <c r="CI14">
        <v>369</v>
      </c>
      <c r="CJ14">
        <v>79</v>
      </c>
      <c r="CK14" t="s">
        <v>56</v>
      </c>
      <c r="CL14" t="s">
        <v>21</v>
      </c>
      <c r="CM14" t="s">
        <v>247</v>
      </c>
    </row>
    <row r="15" spans="47:91" x14ac:dyDescent="0.25">
      <c r="AU15" s="7" t="s">
        <v>205</v>
      </c>
      <c r="AV15" s="7">
        <v>4</v>
      </c>
      <c r="BN15">
        <v>3</v>
      </c>
      <c r="BO15">
        <v>4</v>
      </c>
      <c r="BP15" t="s">
        <v>167</v>
      </c>
      <c r="BQ15" t="s">
        <v>293</v>
      </c>
      <c r="BR15" t="s">
        <v>97</v>
      </c>
      <c r="BS15" t="s">
        <v>99</v>
      </c>
      <c r="BT15" t="s">
        <v>99</v>
      </c>
      <c r="BU15" t="s">
        <v>140</v>
      </c>
      <c r="BV15" t="s">
        <v>20</v>
      </c>
      <c r="BW15" t="s">
        <v>20</v>
      </c>
      <c r="BX15" t="s">
        <v>73</v>
      </c>
      <c r="BY15">
        <v>1</v>
      </c>
      <c r="BZ15">
        <v>0</v>
      </c>
      <c r="CA15">
        <v>10</v>
      </c>
      <c r="CB15">
        <v>0</v>
      </c>
      <c r="CC15">
        <v>0</v>
      </c>
      <c r="CD15">
        <v>10</v>
      </c>
      <c r="CE15">
        <v>10</v>
      </c>
      <c r="CF15">
        <v>290</v>
      </c>
      <c r="CG15">
        <v>20</v>
      </c>
      <c r="CH15">
        <v>20</v>
      </c>
      <c r="CI15">
        <v>369</v>
      </c>
      <c r="CJ15">
        <v>79</v>
      </c>
      <c r="CK15" t="s">
        <v>56</v>
      </c>
      <c r="CL15" t="s">
        <v>73</v>
      </c>
      <c r="CM15" t="s">
        <v>247</v>
      </c>
    </row>
    <row r="16" spans="47:91" x14ac:dyDescent="0.25">
      <c r="AU16" s="7" t="s">
        <v>206</v>
      </c>
      <c r="AV16" s="7">
        <v>5</v>
      </c>
      <c r="BN16">
        <v>4</v>
      </c>
      <c r="BO16">
        <v>5</v>
      </c>
      <c r="BP16" t="s">
        <v>167</v>
      </c>
      <c r="BQ16" t="s">
        <v>294</v>
      </c>
      <c r="BR16" t="s">
        <v>76</v>
      </c>
      <c r="BS16" t="s">
        <v>64</v>
      </c>
      <c r="BT16" t="s">
        <v>64</v>
      </c>
      <c r="BU16" t="s">
        <v>198</v>
      </c>
      <c r="BV16" t="s">
        <v>20</v>
      </c>
      <c r="BW16" t="s">
        <v>73</v>
      </c>
      <c r="BX16" t="s">
        <v>20</v>
      </c>
      <c r="BY16">
        <v>1</v>
      </c>
      <c r="BZ16">
        <v>0</v>
      </c>
      <c r="CA16">
        <v>60</v>
      </c>
      <c r="CB16">
        <v>0</v>
      </c>
      <c r="CC16">
        <v>15</v>
      </c>
      <c r="CD16">
        <v>75</v>
      </c>
      <c r="CE16">
        <v>75</v>
      </c>
      <c r="CF16">
        <v>280</v>
      </c>
      <c r="CG16">
        <v>75</v>
      </c>
      <c r="CH16">
        <v>75</v>
      </c>
      <c r="CI16">
        <v>349</v>
      </c>
      <c r="CJ16">
        <v>69</v>
      </c>
      <c r="CK16" t="s">
        <v>56</v>
      </c>
      <c r="CL16" t="s">
        <v>73</v>
      </c>
      <c r="CM16" t="s">
        <v>247</v>
      </c>
    </row>
    <row r="17" spans="47:95" x14ac:dyDescent="0.25">
      <c r="AU17" s="7" t="s">
        <v>207</v>
      </c>
      <c r="AV17" s="7">
        <v>6</v>
      </c>
      <c r="BN17">
        <v>5</v>
      </c>
      <c r="BO17">
        <v>6</v>
      </c>
      <c r="BP17" t="s">
        <v>167</v>
      </c>
      <c r="BQ17" t="s">
        <v>295</v>
      </c>
      <c r="BR17" t="s">
        <v>62</v>
      </c>
      <c r="BS17" t="s">
        <v>64</v>
      </c>
      <c r="BT17" t="s">
        <v>64</v>
      </c>
      <c r="BU17" t="s">
        <v>252</v>
      </c>
      <c r="BV17" t="s">
        <v>20</v>
      </c>
      <c r="BW17" t="s">
        <v>20</v>
      </c>
      <c r="BX17" t="s">
        <v>20</v>
      </c>
      <c r="BY17">
        <v>1</v>
      </c>
      <c r="BZ17">
        <v>0</v>
      </c>
      <c r="CA17">
        <v>5</v>
      </c>
      <c r="CB17">
        <v>0</v>
      </c>
      <c r="CC17">
        <v>5</v>
      </c>
      <c r="CD17">
        <v>10</v>
      </c>
      <c r="CE17">
        <v>10</v>
      </c>
      <c r="CF17">
        <v>205</v>
      </c>
      <c r="CG17">
        <v>20</v>
      </c>
      <c r="CH17">
        <v>20</v>
      </c>
      <c r="CI17">
        <v>274</v>
      </c>
      <c r="CJ17">
        <v>69</v>
      </c>
      <c r="CK17" t="s">
        <v>56</v>
      </c>
      <c r="CL17" t="s">
        <v>73</v>
      </c>
      <c r="CM17" t="s">
        <v>247</v>
      </c>
      <c r="CO17">
        <v>127</v>
      </c>
      <c r="CQ17" s="28" t="s">
        <v>195</v>
      </c>
    </row>
    <row r="18" spans="47:95" x14ac:dyDescent="0.25">
      <c r="AU18" s="7" t="s">
        <v>21</v>
      </c>
      <c r="AV18" s="7">
        <v>7</v>
      </c>
      <c r="BN18">
        <v>6</v>
      </c>
      <c r="BO18">
        <v>7</v>
      </c>
      <c r="BP18" t="s">
        <v>167</v>
      </c>
      <c r="BQ18" t="s">
        <v>296</v>
      </c>
      <c r="BR18" t="s">
        <v>62</v>
      </c>
      <c r="BS18" t="s">
        <v>64</v>
      </c>
      <c r="BT18" t="s">
        <v>64</v>
      </c>
      <c r="BU18" t="s">
        <v>252</v>
      </c>
      <c r="BV18" t="s">
        <v>20</v>
      </c>
      <c r="BW18" t="s">
        <v>20</v>
      </c>
      <c r="BX18" t="s">
        <v>20</v>
      </c>
      <c r="BY18">
        <v>1</v>
      </c>
      <c r="BZ18">
        <v>0</v>
      </c>
      <c r="CA18">
        <v>20</v>
      </c>
      <c r="CB18">
        <v>0</v>
      </c>
      <c r="CC18">
        <v>5</v>
      </c>
      <c r="CD18">
        <v>25</v>
      </c>
      <c r="CE18">
        <v>25</v>
      </c>
      <c r="CF18">
        <v>111</v>
      </c>
      <c r="CG18">
        <v>25</v>
      </c>
      <c r="CH18">
        <v>25</v>
      </c>
      <c r="CI18">
        <v>134</v>
      </c>
      <c r="CJ18">
        <v>23</v>
      </c>
      <c r="CK18" t="s">
        <v>56</v>
      </c>
      <c r="CL18" t="s">
        <v>73</v>
      </c>
      <c r="CM18" t="s">
        <v>247</v>
      </c>
      <c r="CN18">
        <v>50</v>
      </c>
      <c r="CO18">
        <v>74</v>
      </c>
      <c r="CQ18" s="27" t="s">
        <v>175</v>
      </c>
    </row>
    <row r="19" spans="47:95" x14ac:dyDescent="0.25">
      <c r="AU19" s="7" t="s">
        <v>57</v>
      </c>
      <c r="AV19" s="7">
        <v>8</v>
      </c>
      <c r="BN19">
        <v>7</v>
      </c>
      <c r="BO19">
        <v>8</v>
      </c>
      <c r="BP19" t="s">
        <v>167</v>
      </c>
      <c r="BQ19" t="s">
        <v>297</v>
      </c>
      <c r="BR19" t="s">
        <v>62</v>
      </c>
      <c r="BS19" t="s">
        <v>64</v>
      </c>
      <c r="BT19" t="s">
        <v>64</v>
      </c>
      <c r="BU19" t="s">
        <v>252</v>
      </c>
      <c r="BV19" t="s">
        <v>20</v>
      </c>
      <c r="BW19" t="s">
        <v>20</v>
      </c>
      <c r="BX19" t="s">
        <v>20</v>
      </c>
      <c r="BY19">
        <v>1</v>
      </c>
      <c r="BZ19">
        <v>0</v>
      </c>
      <c r="CA19">
        <v>10</v>
      </c>
      <c r="CB19">
        <v>0</v>
      </c>
      <c r="CC19">
        <v>5</v>
      </c>
      <c r="CD19">
        <v>15</v>
      </c>
      <c r="CE19">
        <v>15</v>
      </c>
      <c r="CF19">
        <v>15</v>
      </c>
      <c r="CG19">
        <v>20</v>
      </c>
      <c r="CH19">
        <v>20</v>
      </c>
      <c r="CI19">
        <v>20</v>
      </c>
      <c r="CJ19">
        <v>5</v>
      </c>
      <c r="CK19" t="s">
        <v>56</v>
      </c>
      <c r="CL19" t="s">
        <v>20</v>
      </c>
      <c r="CM19" t="s">
        <v>247</v>
      </c>
      <c r="CO19">
        <v>6</v>
      </c>
      <c r="CQ19" s="28" t="s">
        <v>179</v>
      </c>
    </row>
    <row r="20" spans="47:95" x14ac:dyDescent="0.25">
      <c r="AU20" s="7" t="s">
        <v>208</v>
      </c>
      <c r="AV20" s="7">
        <v>9</v>
      </c>
      <c r="BN20">
        <v>7</v>
      </c>
      <c r="BO20">
        <v>9</v>
      </c>
      <c r="BP20" t="s">
        <v>167</v>
      </c>
      <c r="BQ20" t="s">
        <v>298</v>
      </c>
      <c r="BR20" t="s">
        <v>62</v>
      </c>
      <c r="BS20" t="s">
        <v>64</v>
      </c>
      <c r="BT20" t="s">
        <v>64</v>
      </c>
      <c r="BU20" t="s">
        <v>252</v>
      </c>
      <c r="BV20" t="s">
        <v>20</v>
      </c>
      <c r="BW20" t="s">
        <v>20</v>
      </c>
      <c r="BX20" t="s">
        <v>20</v>
      </c>
      <c r="BY20">
        <v>1</v>
      </c>
      <c r="BZ20">
        <v>0</v>
      </c>
      <c r="CA20">
        <v>10</v>
      </c>
      <c r="CB20">
        <v>0</v>
      </c>
      <c r="CC20">
        <v>5</v>
      </c>
      <c r="CD20">
        <v>15</v>
      </c>
      <c r="CE20">
        <v>15</v>
      </c>
      <c r="CF20">
        <v>15</v>
      </c>
      <c r="CG20">
        <v>20</v>
      </c>
      <c r="CH20">
        <v>20</v>
      </c>
      <c r="CI20">
        <v>20</v>
      </c>
      <c r="CJ20">
        <v>5</v>
      </c>
      <c r="CK20" t="s">
        <v>56</v>
      </c>
      <c r="CL20" t="s">
        <v>20</v>
      </c>
      <c r="CM20" t="s">
        <v>247</v>
      </c>
      <c r="CP20">
        <v>50</v>
      </c>
      <c r="CQ20" s="27" t="s">
        <v>194</v>
      </c>
    </row>
    <row r="21" spans="47:95" x14ac:dyDescent="0.25">
      <c r="AU21" s="7" t="s">
        <v>209</v>
      </c>
      <c r="AV21" s="7">
        <v>10</v>
      </c>
      <c r="BN21">
        <v>7</v>
      </c>
      <c r="BO21">
        <v>10</v>
      </c>
      <c r="BP21" t="s">
        <v>167</v>
      </c>
      <c r="BQ21" t="s">
        <v>299</v>
      </c>
      <c r="BR21" t="s">
        <v>62</v>
      </c>
      <c r="BS21" t="s">
        <v>64</v>
      </c>
      <c r="BT21" t="s">
        <v>64</v>
      </c>
      <c r="BU21" t="s">
        <v>252</v>
      </c>
      <c r="BV21" t="s">
        <v>20</v>
      </c>
      <c r="BW21" t="s">
        <v>20</v>
      </c>
      <c r="BX21" t="s">
        <v>20</v>
      </c>
      <c r="BY21">
        <v>1</v>
      </c>
      <c r="BZ21">
        <v>1</v>
      </c>
      <c r="CA21">
        <v>18</v>
      </c>
      <c r="CB21">
        <v>0</v>
      </c>
      <c r="CC21">
        <v>5</v>
      </c>
      <c r="CD21">
        <v>24</v>
      </c>
      <c r="CE21">
        <v>24</v>
      </c>
      <c r="CF21">
        <v>24</v>
      </c>
      <c r="CG21">
        <v>35</v>
      </c>
      <c r="CH21">
        <v>35</v>
      </c>
      <c r="CI21">
        <v>35</v>
      </c>
      <c r="CJ21">
        <v>11</v>
      </c>
      <c r="CK21" t="s">
        <v>56</v>
      </c>
      <c r="CL21" t="s">
        <v>20</v>
      </c>
      <c r="CM21" t="s">
        <v>247</v>
      </c>
      <c r="CO21">
        <v>18</v>
      </c>
      <c r="CQ21" s="28" t="s">
        <v>193</v>
      </c>
    </row>
    <row r="22" spans="47:95" x14ac:dyDescent="0.25">
      <c r="AU22" s="7" t="s">
        <v>210</v>
      </c>
      <c r="AV22" s="7">
        <v>11</v>
      </c>
      <c r="BN22">
        <v>7</v>
      </c>
      <c r="BO22">
        <v>11</v>
      </c>
      <c r="BP22" t="s">
        <v>167</v>
      </c>
      <c r="BQ22" t="s">
        <v>300</v>
      </c>
      <c r="BR22" t="s">
        <v>62</v>
      </c>
      <c r="BS22" t="s">
        <v>64</v>
      </c>
      <c r="BT22" t="s">
        <v>64</v>
      </c>
      <c r="BU22" t="s">
        <v>94</v>
      </c>
      <c r="BV22" t="s">
        <v>20</v>
      </c>
      <c r="BW22" t="s">
        <v>73</v>
      </c>
      <c r="BX22" t="s">
        <v>20</v>
      </c>
      <c r="BY22">
        <v>1</v>
      </c>
      <c r="BZ22">
        <v>0</v>
      </c>
      <c r="CA22">
        <v>27</v>
      </c>
      <c r="CB22">
        <v>0</v>
      </c>
      <c r="CC22">
        <v>5</v>
      </c>
      <c r="CD22">
        <v>32</v>
      </c>
      <c r="CE22">
        <v>32</v>
      </c>
      <c r="CF22">
        <v>32</v>
      </c>
      <c r="CG22">
        <v>34</v>
      </c>
      <c r="CH22">
        <v>34</v>
      </c>
      <c r="CI22">
        <v>34</v>
      </c>
      <c r="CJ22">
        <v>2</v>
      </c>
      <c r="CK22" t="s">
        <v>56</v>
      </c>
      <c r="CL22" t="s">
        <v>20</v>
      </c>
      <c r="CM22" t="s">
        <v>247</v>
      </c>
      <c r="CP22">
        <v>30</v>
      </c>
      <c r="CQ22" s="27" t="s">
        <v>172</v>
      </c>
    </row>
    <row r="23" spans="47:95" x14ac:dyDescent="0.25">
      <c r="AU23" s="7" t="s">
        <v>84</v>
      </c>
      <c r="AV23" s="7">
        <v>12</v>
      </c>
      <c r="BN23">
        <v>6</v>
      </c>
      <c r="BO23">
        <v>12</v>
      </c>
      <c r="BP23" t="s">
        <v>167</v>
      </c>
      <c r="BQ23" t="s">
        <v>301</v>
      </c>
      <c r="BR23" t="s">
        <v>62</v>
      </c>
      <c r="BS23" t="s">
        <v>64</v>
      </c>
      <c r="BT23" t="s">
        <v>64</v>
      </c>
      <c r="BU23" t="s">
        <v>252</v>
      </c>
      <c r="BV23" t="s">
        <v>20</v>
      </c>
      <c r="BW23" t="s">
        <v>20</v>
      </c>
      <c r="BX23" t="s">
        <v>20</v>
      </c>
      <c r="BY23">
        <v>1</v>
      </c>
      <c r="BZ23">
        <v>0</v>
      </c>
      <c r="CA23">
        <v>18</v>
      </c>
      <c r="CB23">
        <v>0</v>
      </c>
      <c r="CC23">
        <v>5</v>
      </c>
      <c r="CD23">
        <v>23</v>
      </c>
      <c r="CE23">
        <v>23</v>
      </c>
      <c r="CF23">
        <v>51</v>
      </c>
      <c r="CG23">
        <v>30</v>
      </c>
      <c r="CH23">
        <v>30</v>
      </c>
      <c r="CI23">
        <v>85</v>
      </c>
      <c r="CJ23">
        <v>34</v>
      </c>
      <c r="CK23" t="s">
        <v>56</v>
      </c>
      <c r="CL23" t="s">
        <v>73</v>
      </c>
      <c r="CM23" t="s">
        <v>247</v>
      </c>
      <c r="CO23">
        <v>25</v>
      </c>
    </row>
    <row r="24" spans="47:95" x14ac:dyDescent="0.25">
      <c r="AU24" s="7" t="s">
        <v>70</v>
      </c>
      <c r="AV24" s="7">
        <v>13</v>
      </c>
      <c r="BN24">
        <v>7</v>
      </c>
      <c r="BO24">
        <v>13</v>
      </c>
      <c r="BP24" t="s">
        <v>167</v>
      </c>
      <c r="BQ24" t="s">
        <v>302</v>
      </c>
      <c r="BR24" t="s">
        <v>62</v>
      </c>
      <c r="BS24" t="s">
        <v>64</v>
      </c>
      <c r="BT24" t="s">
        <v>64</v>
      </c>
      <c r="BU24" t="s">
        <v>252</v>
      </c>
      <c r="BV24" t="s">
        <v>20</v>
      </c>
      <c r="BW24" t="s">
        <v>20</v>
      </c>
      <c r="BX24" t="s">
        <v>20</v>
      </c>
      <c r="BY24">
        <v>1</v>
      </c>
      <c r="BZ24">
        <v>1</v>
      </c>
      <c r="CA24">
        <v>8</v>
      </c>
      <c r="CB24">
        <v>0</v>
      </c>
      <c r="CC24">
        <v>5</v>
      </c>
      <c r="CD24">
        <v>14</v>
      </c>
      <c r="CE24">
        <v>14</v>
      </c>
      <c r="CF24">
        <v>14</v>
      </c>
      <c r="CG24">
        <v>35</v>
      </c>
      <c r="CH24">
        <v>35</v>
      </c>
      <c r="CI24">
        <v>35</v>
      </c>
      <c r="CJ24">
        <v>21</v>
      </c>
      <c r="CK24" t="s">
        <v>56</v>
      </c>
      <c r="CL24" t="s">
        <v>20</v>
      </c>
      <c r="CM24" t="s">
        <v>247</v>
      </c>
      <c r="CO24">
        <v>10</v>
      </c>
      <c r="CQ24" s="27" t="s">
        <v>172</v>
      </c>
    </row>
    <row r="25" spans="47:95" x14ac:dyDescent="0.25">
      <c r="AU25" s="7" t="s">
        <v>73</v>
      </c>
      <c r="AV25" s="7">
        <v>14</v>
      </c>
      <c r="BN25">
        <v>7</v>
      </c>
      <c r="BO25">
        <v>14</v>
      </c>
      <c r="BP25" t="s">
        <v>167</v>
      </c>
      <c r="BQ25" t="s">
        <v>297</v>
      </c>
      <c r="BR25" t="s">
        <v>62</v>
      </c>
      <c r="BS25" t="s">
        <v>64</v>
      </c>
      <c r="BT25" t="s">
        <v>64</v>
      </c>
      <c r="BU25" t="s">
        <v>252</v>
      </c>
      <c r="BV25" t="s">
        <v>20</v>
      </c>
      <c r="BW25" t="s">
        <v>20</v>
      </c>
      <c r="BX25" t="s">
        <v>20</v>
      </c>
      <c r="BY25">
        <v>1</v>
      </c>
      <c r="BZ25">
        <v>1</v>
      </c>
      <c r="CA25">
        <v>8</v>
      </c>
      <c r="CB25">
        <v>0</v>
      </c>
      <c r="CC25">
        <v>5</v>
      </c>
      <c r="CD25">
        <v>14</v>
      </c>
      <c r="CE25">
        <v>14</v>
      </c>
      <c r="CF25">
        <v>14</v>
      </c>
      <c r="CG25">
        <v>20</v>
      </c>
      <c r="CH25">
        <v>20</v>
      </c>
      <c r="CI25">
        <v>20</v>
      </c>
      <c r="CJ25">
        <v>6</v>
      </c>
      <c r="CK25" t="s">
        <v>56</v>
      </c>
      <c r="CL25" t="s">
        <v>20</v>
      </c>
      <c r="CM25" t="s">
        <v>247</v>
      </c>
      <c r="CO25">
        <v>6</v>
      </c>
      <c r="CQ25" s="27" t="s">
        <v>179</v>
      </c>
    </row>
    <row r="26" spans="47:95" x14ac:dyDescent="0.25">
      <c r="AU26" s="7" t="s">
        <v>211</v>
      </c>
      <c r="AV26" s="7">
        <v>15</v>
      </c>
      <c r="BN26">
        <v>6</v>
      </c>
      <c r="BO26">
        <v>15</v>
      </c>
      <c r="BP26" t="s">
        <v>167</v>
      </c>
      <c r="BQ26" t="s">
        <v>303</v>
      </c>
      <c r="BR26" t="s">
        <v>62</v>
      </c>
      <c r="BS26" t="s">
        <v>64</v>
      </c>
      <c r="BT26" t="s">
        <v>64</v>
      </c>
      <c r="BU26" t="s">
        <v>252</v>
      </c>
      <c r="BV26" t="s">
        <v>20</v>
      </c>
      <c r="BW26" t="s">
        <v>20</v>
      </c>
      <c r="BX26" t="s">
        <v>20</v>
      </c>
      <c r="BY26">
        <v>1</v>
      </c>
      <c r="BZ26">
        <v>1</v>
      </c>
      <c r="CA26">
        <v>27</v>
      </c>
      <c r="CB26">
        <v>0</v>
      </c>
      <c r="CC26">
        <v>5</v>
      </c>
      <c r="CD26">
        <v>33</v>
      </c>
      <c r="CE26">
        <v>33</v>
      </c>
      <c r="CF26">
        <v>33</v>
      </c>
      <c r="CG26">
        <v>35</v>
      </c>
      <c r="CH26">
        <v>35</v>
      </c>
      <c r="CI26">
        <v>35</v>
      </c>
      <c r="CJ26">
        <v>2</v>
      </c>
      <c r="CK26" t="s">
        <v>56</v>
      </c>
      <c r="CL26" t="s">
        <v>20</v>
      </c>
      <c r="CM26" t="s">
        <v>247</v>
      </c>
      <c r="CO26">
        <v>30</v>
      </c>
      <c r="CQ26" s="27" t="s">
        <v>175</v>
      </c>
    </row>
    <row r="27" spans="47:95" x14ac:dyDescent="0.25">
      <c r="AU27" s="7" t="s">
        <v>212</v>
      </c>
      <c r="AV27" s="7">
        <v>16</v>
      </c>
      <c r="CQ27" s="28" t="s">
        <v>179</v>
      </c>
    </row>
    <row r="28" spans="47:95" x14ac:dyDescent="0.25">
      <c r="AU28" s="7" t="s">
        <v>213</v>
      </c>
      <c r="AV28" s="7">
        <v>17</v>
      </c>
      <c r="CQ28" s="28" t="s">
        <v>195</v>
      </c>
    </row>
    <row r="29" spans="47:95" x14ac:dyDescent="0.25">
      <c r="AU29" s="7" t="s">
        <v>214</v>
      </c>
      <c r="AV29" s="7">
        <v>18</v>
      </c>
      <c r="CQ29" s="28" t="s">
        <v>193</v>
      </c>
    </row>
    <row r="30" spans="47:95" x14ac:dyDescent="0.25">
      <c r="AU30" s="7" t="s">
        <v>215</v>
      </c>
      <c r="AV30" s="7">
        <v>19</v>
      </c>
    </row>
    <row r="31" spans="47:95" x14ac:dyDescent="0.25">
      <c r="AU31" s="7" t="s">
        <v>216</v>
      </c>
      <c r="AV31" s="7">
        <v>20</v>
      </c>
    </row>
    <row r="32" spans="47:95" x14ac:dyDescent="0.25">
      <c r="AU32" s="7" t="s">
        <v>217</v>
      </c>
      <c r="AV32" s="7">
        <v>21</v>
      </c>
    </row>
    <row r="33" spans="47:48" x14ac:dyDescent="0.25">
      <c r="AU33" s="7" t="s">
        <v>218</v>
      </c>
      <c r="AV33" s="7">
        <v>22</v>
      </c>
    </row>
    <row r="34" spans="47:48" x14ac:dyDescent="0.25">
      <c r="AU34" s="7" t="s">
        <v>219</v>
      </c>
      <c r="AV34" s="7">
        <v>23</v>
      </c>
    </row>
    <row r="35" spans="47:48" x14ac:dyDescent="0.25">
      <c r="AU35" s="7" t="s">
        <v>220</v>
      </c>
      <c r="AV35" s="7">
        <v>24</v>
      </c>
    </row>
    <row r="36" spans="47:48" x14ac:dyDescent="0.25">
      <c r="AU36" s="7" t="s">
        <v>20</v>
      </c>
      <c r="AV36" s="7">
        <v>25</v>
      </c>
    </row>
    <row r="37" spans="47:48" x14ac:dyDescent="0.25">
      <c r="AU37" s="7" t="s">
        <v>221</v>
      </c>
      <c r="AV37" s="7">
        <v>26</v>
      </c>
    </row>
    <row r="38" spans="47:48" x14ac:dyDescent="0.25">
      <c r="AU38" s="7"/>
      <c r="AV38" s="7"/>
    </row>
    <row r="39" spans="47:48" x14ac:dyDescent="0.25">
      <c r="AU39" s="7"/>
      <c r="AV39" s="7"/>
    </row>
    <row r="40" spans="47:48" x14ac:dyDescent="0.25">
      <c r="AU40" s="7"/>
      <c r="AV40" s="7"/>
    </row>
    <row r="41" spans="47:48" x14ac:dyDescent="0.25">
      <c r="AU41" s="7"/>
      <c r="AV41" s="7"/>
    </row>
    <row r="42" spans="47:48" x14ac:dyDescent="0.25">
      <c r="AU42" s="7"/>
      <c r="AV42" s="7"/>
    </row>
    <row r="43" spans="47:48" x14ac:dyDescent="0.25">
      <c r="AU43" s="7"/>
      <c r="AV43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Display</vt:lpstr>
      <vt:lpstr>RawData</vt:lpstr>
      <vt:lpstr>RawDataOld</vt:lpstr>
      <vt:lpstr>Demo</vt:lpstr>
      <vt:lpstr>MetaData</vt:lpstr>
      <vt:lpstr>OldMetaData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2019-06-04T13:58:55Z</dcterms:created>
  <dc:creator>Alagappan, Saravanan</dc:creator>
  <cp:lastModifiedBy>Alagappan, Saravanan</cp:lastModifiedBy>
  <dcterms:modified xsi:type="dcterms:W3CDTF">2019-06-25T14:22:34Z</dcterms:modified>
</cp:coreProperties>
</file>